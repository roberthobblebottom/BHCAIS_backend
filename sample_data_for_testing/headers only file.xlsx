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DP Catalog" sheetId="1" state="visible" r:id="rId3"/>
    <sheet name="Timeline" sheetId="2" state="hidden" r:id="rId4"/>
  </sheets>
  <definedNames>
    <definedName function="false" hidden="true" localSheetId="0" name="_xlnm._FilterDatabase" vbProcedure="false">'SDP Catalog'!$A$1:$AG$1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<sst xmlns="http://schemas.openxmlformats.org/spreadsheetml/2006/main" count="427" uniqueCount="80">
  <si>
    <t xml:space="preserve">sn_no</t>
  </si>
  <si>
    <t xml:space="preserve">uid</t>
  </si>
  <si>
    <t xml:space="preserve">box_no</t>
  </si>
  <si>
    <t xml:space="preserve">object_condition_qc1</t>
  </si>
  <si>
    <t xml:space="preserve">box_information_old</t>
  </si>
  <si>
    <t xml:space="preserve">box_information_new</t>
  </si>
  <si>
    <t xml:space="preserve">divider_1</t>
  </si>
  <si>
    <t xml:space="preserve">divider_2</t>
  </si>
  <si>
    <t xml:space="preserve">divider_3</t>
  </si>
  <si>
    <t xml:space="preserve">slides_information</t>
  </si>
  <si>
    <t xml:space="preserve">main_category</t>
  </si>
  <si>
    <t xml:space="preserve">collector_name</t>
  </si>
  <si>
    <t xml:space="preserve">day</t>
  </si>
  <si>
    <t xml:space="preserve">month</t>
  </si>
  <si>
    <t xml:space="preserve">year</t>
  </si>
  <si>
    <t xml:space="preserve">country</t>
  </si>
  <si>
    <t xml:space="preserve">locality</t>
  </si>
  <si>
    <t xml:space="preserve">gps_coordinates</t>
  </si>
  <si>
    <t xml:space="preserve">taxonomy</t>
  </si>
  <si>
    <t xml:space="preserve">common_name</t>
  </si>
  <si>
    <t xml:space="preserve">fieldnotes</t>
  </si>
  <si>
    <t xml:space="preserve">keywords</t>
  </si>
  <si>
    <t xml:space="preserve">location_in_lkcnhm</t>
  </si>
  <si>
    <t xml:space="preserve">catalogued_by</t>
  </si>
  <si>
    <t xml:space="preserve">catalogued_date</t>
  </si>
  <si>
    <t xml:space="preserve">access_status</t>
  </si>
  <si>
    <t xml:space="preserve">remarks</t>
  </si>
  <si>
    <t xml:space="preserve">batch_no</t>
  </si>
  <si>
    <t xml:space="preserve">sign_out_date</t>
  </si>
  <si>
    <t xml:space="preserve">sign_in_date</t>
  </si>
  <si>
    <t xml:space="preserve">date_of_qc</t>
  </si>
  <si>
    <t xml:space="preserve">checked_by</t>
  </si>
  <si>
    <t xml:space="preserve">object_condition_qc2</t>
  </si>
  <si>
    <t xml:space="preserve">data_tier_2_or_3</t>
  </si>
  <si>
    <t xml:space="preserve">Day</t>
  </si>
  <si>
    <t xml:space="preserve">Date</t>
  </si>
  <si>
    <t xml:space="preserve">Total No. of Slides</t>
  </si>
  <si>
    <t xml:space="preserve">No. of Slides (Per day)</t>
  </si>
  <si>
    <t xml:space="preserve">Transcribed?</t>
  </si>
  <si>
    <t xml:space="preserve">Remarks</t>
  </si>
  <si>
    <t xml:space="preserve">Tuesday</t>
  </si>
  <si>
    <t xml:space="preserve">NA</t>
  </si>
  <si>
    <t xml:space="preserve">N</t>
  </si>
  <si>
    <t xml:space="preserve">Wednesday</t>
  </si>
  <si>
    <t xml:space="preserve">Thursday</t>
  </si>
  <si>
    <t xml:space="preserve">Friday</t>
  </si>
  <si>
    <t xml:space="preserve">Monday</t>
  </si>
  <si>
    <t xml:space="preserve">Y</t>
  </si>
  <si>
    <t xml:space="preserve">Batch 1 and 2 exchange; Checking Batch 1</t>
  </si>
  <si>
    <t xml:space="preserve">Checking Batch 1</t>
  </si>
  <si>
    <t xml:space="preserve">Transcribing previous digitsed batches</t>
  </si>
  <si>
    <t xml:space="preserve">Transcribing Batch 1</t>
  </si>
  <si>
    <t xml:space="preserve">Transcribing previous digitised batches; Slide exchange</t>
  </si>
  <si>
    <t xml:space="preserve">Transcribing previous digitised batches</t>
  </si>
  <si>
    <t xml:space="preserve">QC2 for batch 5 and 6</t>
  </si>
  <si>
    <t xml:space="preserve">Slide exchange, QC2 for batch 11, 12</t>
  </si>
  <si>
    <t xml:space="preserve">Includes rescans of Batch 13 (overexposed slides)</t>
  </si>
  <si>
    <t xml:space="preserve">Transcribing previous batches</t>
  </si>
  <si>
    <t xml:space="preserve">Slide exchange + QC</t>
  </si>
  <si>
    <t xml:space="preserve">Filling up metadata</t>
  </si>
  <si>
    <t xml:space="preserve">Month</t>
  </si>
  <si>
    <t xml:space="preserve">Average (Per day)</t>
  </si>
  <si>
    <t xml:space="preserve">Slides per month</t>
  </si>
  <si>
    <t xml:space="preserve">Total Slides</t>
  </si>
  <si>
    <t xml:space="preserve">Total Size (GB)</t>
  </si>
  <si>
    <t xml:space="preserve">Size per slide (GB)</t>
  </si>
  <si>
    <t xml:space="preserve">Size per slide (MB)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</si>
  <si>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</si>
  <si>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</si>
  <si>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</si>
  <si>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</si>
  <si>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</si>
  <si>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</si>
  <si>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</si>
  <si>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</si>
  <si>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</si>
  <si>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</si>
  <si>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</si>
  <si>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</si>
  <si>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13 to 23 May used to transcribe previously untranscribed but digitised boxes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</si>
</sst>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0000.000"/>
    <numFmt numFmtId="166" formatCode="[$-4809]d\ mmm\ yyyy;@"/>
    <numFmt numFmtId="167" formatCode="d\-mmm\-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Calibri"/>
      <family val="2"/>
      <charset val="1"/>
    </font>
    <font>
      <sz val="11"/>
      <color theme="1"/>
      <name val="Calibri"/>
      <family val="2"/>
    </font>
    <font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theme="7" tint="0.3999"/>
        </patternFill>
      </fill>
    </dxf>
    <dxf>
      <fill>
        <patternFill>
          <bgColor theme="9" tint="0.399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H1048576"/>
  <sheetViews>
    <sheetView showFormulas="false" showGridLines="true" showRowColHeaders="true" showZeros="true" rightToLeft="false" tabSelected="true" showOutlineSymbols="true" defaultGridColor="true" view="normal" topLeftCell="A1" colorId="64" zoomScale="134" zoomScaleNormal="134" zoomScalePageLayoutView="100" workbookViewId="0">
      <pane xSplit="0" ySplit="3" topLeftCell="A20" activePane="bottomLeft" state="frozen"/>
      <selection pane="topLeft" activeCell="A1" activeCellId="0" sqref="A1"/>
      <selection pane="bottomLeft" activeCell="A1" activeCellId="0" sqref="A1:AH1"/>
    </sheetView>
  </sheetViews>
  <sheetFormatPr defaultColWidth="8.73046875" defaultRowHeight="12.75" zeroHeight="false" outlineLevelRow="0" outlineLevelCol="0"/>
  <cols>
    <col collapsed="false" customWidth="true" hidden="false" outlineLevel="0" max="1" min="1" style="1" width="6.54"/>
    <col collapsed="false" customWidth="true" hidden="false" outlineLevel="0" max="2" min="2" style="2" width="8.18"/>
    <col collapsed="false" customWidth="true" hidden="false" outlineLevel="0" max="3" min="3" style="1" width="4"/>
    <col collapsed="false" customWidth="true" hidden="false" outlineLevel="0" max="4" min="4" style="1" width="3.82"/>
    <col collapsed="false" customWidth="true" hidden="false" outlineLevel="0" max="5" min="5" style="1" width="4.18"/>
    <col collapsed="false" customWidth="true" hidden="false" outlineLevel="0" max="6" min="6" style="1" width="3.82"/>
    <col collapsed="false" customWidth="true" hidden="false" outlineLevel="0" max="7" min="7" style="1" width="8.18"/>
    <col collapsed="false" customWidth="true" hidden="false" outlineLevel="0" max="8" min="8" style="1" width="4"/>
    <col collapsed="false" customWidth="true" hidden="false" outlineLevel="0" max="9" min="9" style="1" width="3.18"/>
    <col collapsed="false" customWidth="true" hidden="false" outlineLevel="0" max="10" min="10" style="1" width="16.45"/>
    <col collapsed="false" customWidth="true" hidden="false" outlineLevel="0" max="11" min="11" style="1" width="6.45"/>
    <col collapsed="false" customWidth="true" hidden="false" outlineLevel="0" max="12" min="12" style="1" width="4.73"/>
    <col collapsed="false" customWidth="true" hidden="false" outlineLevel="0" max="13" min="13" style="1" width="4.27"/>
    <col collapsed="false" customWidth="true" hidden="false" outlineLevel="0" max="14" min="14" style="1" width="4.54"/>
    <col collapsed="false" customWidth="true" hidden="false" outlineLevel="0" max="15" min="15" style="1" width="4.73"/>
    <col collapsed="false" customWidth="true" hidden="false" outlineLevel="0" max="16" min="16" style="1" width="5.54"/>
    <col collapsed="false" customWidth="true" hidden="false" outlineLevel="0" max="17" min="17" style="1" width="5"/>
    <col collapsed="false" customWidth="true" hidden="true" outlineLevel="0" max="18" min="18" style="1" width="5"/>
    <col collapsed="false" customWidth="true" hidden="true" outlineLevel="0" max="19" min="19" style="1" width="4.54"/>
    <col collapsed="false" customWidth="true" hidden="true" outlineLevel="0" max="20" min="20" style="1" width="4.18"/>
    <col collapsed="false" customWidth="true" hidden="true" outlineLevel="0" max="21" min="21" style="1" width="4.45"/>
    <col collapsed="false" customWidth="true" hidden="false" outlineLevel="0" max="22" min="22" style="1" width="4.73"/>
    <col collapsed="false" customWidth="true" hidden="false" outlineLevel="0" max="23" min="23" style="1" width="3.82"/>
    <col collapsed="false" customWidth="true" hidden="false" outlineLevel="0" max="24" min="24" style="1" width="3.45"/>
    <col collapsed="false" customWidth="true" hidden="false" outlineLevel="0" max="25" min="25" style="3" width="8.27"/>
    <col collapsed="false" customWidth="true" hidden="false" outlineLevel="0" max="26" min="26" style="1" width="2.18"/>
    <col collapsed="false" customWidth="false" hidden="false" outlineLevel="0" max="27" min="27" style="1" width="8.73"/>
    <col collapsed="false" customWidth="true" hidden="false" outlineLevel="0" max="28" min="28" style="1" width="6.27"/>
    <col collapsed="false" customWidth="true" hidden="false" outlineLevel="0" max="29" min="29" style="1" width="9.82"/>
    <col collapsed="false" customWidth="true" hidden="false" outlineLevel="0" max="30" min="30" style="1" width="8.54"/>
    <col collapsed="false" customWidth="true" hidden="false" outlineLevel="0" max="31" min="31" style="3" width="9.45"/>
    <col collapsed="false" customWidth="true" hidden="false" outlineLevel="0" max="32" min="32" style="1" width="4.82"/>
    <col collapsed="false" customWidth="true" hidden="false" outlineLevel="0" max="33" min="33" style="1" width="8.18"/>
    <col collapsed="false" customWidth="false" hidden="false" outlineLevel="0" max="16384" min="34" style="1" width="8.73"/>
  </cols>
  <sheetData>
    <row r="1" s="5" customFormat="true" ht="12.7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AG1"/>
  <conditionalFormatting sqref="B2:B1048576">
    <cfRule type="duplicateValues" priority="2" aboveAverage="0" equalAverage="0" bottom="0" percent="0" rank="0" text="" dxfId="2"/>
  </conditionalFormatting>
  <conditionalFormatting sqref="A2:A1048576">
    <cfRule type="duplicateValues" priority="3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5"/>
  <sheetViews>
    <sheetView showFormulas="false" showGridLines="true" showRowColHeaders="true" showZeros="true" rightToLeft="false" tabSelected="false" showOutlineSymbols="true" defaultGridColor="true" view="normal" topLeftCell="C164" colorId="64" zoomScale="115" zoomScaleNormal="115" zoomScalePageLayoutView="100" workbookViewId="0">
      <selection pane="topLeft" activeCell="D180" activeCellId="1" sqref="A1:AH1 D180"/>
    </sheetView>
  </sheetViews>
  <sheetFormatPr defaultColWidth="8.73046875" defaultRowHeight="10.5" zeroHeight="false" outlineLevelRow="0" outlineLevelCol="0"/>
  <cols>
    <col collapsed="false" customWidth="false" hidden="false" outlineLevel="0" max="1" min="1" style="6" width="8.73"/>
    <col collapsed="false" customWidth="true" hidden="false" outlineLevel="0" max="2" min="2" style="6" width="9.27"/>
    <col collapsed="false" customWidth="true" hidden="false" outlineLevel="0" max="3" min="3" style="6" width="11.45"/>
    <col collapsed="false" customWidth="true" hidden="false" outlineLevel="0" max="4" min="4" style="6" width="13.73"/>
    <col collapsed="false" customWidth="true" hidden="false" outlineLevel="0" max="5" min="5" style="6" width="8.18"/>
    <col collapsed="false" customWidth="true" hidden="false" outlineLevel="0" max="6" min="6" style="1" width="7.18"/>
    <col collapsed="false" customWidth="false" hidden="false" outlineLevel="0" max="8" min="7" style="6" width="8.73"/>
    <col collapsed="false" customWidth="true" hidden="false" outlineLevel="0" max="9" min="9" style="1" width="7"/>
    <col collapsed="false" customWidth="true" hidden="false" outlineLevel="0" max="10" min="10" style="1" width="11.54"/>
    <col collapsed="false" customWidth="true" hidden="false" outlineLevel="0" max="11" min="11" style="1" width="10.82"/>
    <col collapsed="false" customWidth="true" hidden="false" outlineLevel="0" max="12" min="12" style="6" width="8.45"/>
    <col collapsed="false" customWidth="true" hidden="false" outlineLevel="0" max="13" min="13" style="1" width="10.18"/>
    <col collapsed="false" customWidth="true" hidden="false" outlineLevel="0" max="15" min="14" style="1" width="12.18"/>
    <col collapsed="false" customWidth="false" hidden="false" outlineLevel="0" max="16384" min="16" style="6" width="8.73"/>
  </cols>
  <sheetData>
    <row r="1" customFormat="false" ht="12.65" hidden="false" customHeight="false" outlineLevel="0" collapsed="false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1" t="s">
        <v>39</v>
      </c>
    </row>
    <row r="2" customFormat="false" ht="10.5" hidden="false" customHeight="false" outlineLevel="0" collapsed="false">
      <c r="A2" s="6" t="s">
        <v>40</v>
      </c>
      <c r="B2" s="7" t="n">
        <v>44439</v>
      </c>
      <c r="C2" s="6" t="n">
        <v>682</v>
      </c>
      <c r="D2" s="6" t="s">
        <v>41</v>
      </c>
      <c r="E2" s="6" t="s">
        <v>42</v>
      </c>
    </row>
    <row r="3" customFormat="false" ht="10.5" hidden="false" customHeight="false" outlineLevel="0" collapsed="false">
      <c r="A3" s="6" t="s">
        <v>43</v>
      </c>
      <c r="B3" s="7" t="n">
        <v>44440</v>
      </c>
      <c r="C3" s="6" t="n">
        <v>1319</v>
      </c>
      <c r="D3" s="6" t="n">
        <f aca="false">C3-C2</f>
        <v>637</v>
      </c>
      <c r="E3" s="6" t="s">
        <v>42</v>
      </c>
    </row>
    <row r="4" customFormat="false" ht="10.5" hidden="false" customHeight="false" outlineLevel="0" collapsed="false">
      <c r="A4" s="6" t="s">
        <v>44</v>
      </c>
      <c r="B4" s="7" t="n">
        <v>44441</v>
      </c>
      <c r="C4" s="6" t="n">
        <v>1630</v>
      </c>
      <c r="D4" s="6" t="n">
        <f aca="false">C4-C3</f>
        <v>311</v>
      </c>
      <c r="E4" s="6" t="s">
        <v>42</v>
      </c>
    </row>
    <row r="5" customFormat="false" ht="10.5" hidden="false" customHeight="false" outlineLevel="0" collapsed="false">
      <c r="A5" s="6" t="s">
        <v>45</v>
      </c>
      <c r="B5" s="7" t="n">
        <v>44442</v>
      </c>
      <c r="C5" s="6" t="n">
        <v>2144</v>
      </c>
      <c r="D5" s="6" t="n">
        <f aca="false">C5-C4</f>
        <v>514</v>
      </c>
      <c r="E5" s="6" t="s">
        <v>42</v>
      </c>
    </row>
    <row r="6" customFormat="false" ht="10.5" hidden="false" customHeight="false" outlineLevel="0" collapsed="false">
      <c r="A6" s="6" t="s">
        <v>46</v>
      </c>
      <c r="B6" s="7" t="n">
        <v>44445</v>
      </c>
      <c r="C6" s="6" t="n">
        <v>2517</v>
      </c>
      <c r="D6" s="6" t="n">
        <f aca="false">C6-C5</f>
        <v>373</v>
      </c>
      <c r="E6" s="6" t="s">
        <v>42</v>
      </c>
    </row>
    <row r="7" customFormat="false" ht="10.5" hidden="false" customHeight="false" outlineLevel="0" collapsed="false">
      <c r="A7" s="6" t="s">
        <v>40</v>
      </c>
      <c r="B7" s="7" t="n">
        <v>44446</v>
      </c>
      <c r="C7" s="6" t="n">
        <v>2809</v>
      </c>
      <c r="D7" s="6" t="n">
        <f aca="false">C7-C6</f>
        <v>292</v>
      </c>
      <c r="E7" s="6" t="s">
        <v>42</v>
      </c>
    </row>
    <row r="8" customFormat="false" ht="10.5" hidden="false" customHeight="false" outlineLevel="0" collapsed="false">
      <c r="A8" s="6" t="s">
        <v>43</v>
      </c>
      <c r="B8" s="7" t="n">
        <v>44447</v>
      </c>
      <c r="C8" s="6" t="n">
        <v>3416</v>
      </c>
      <c r="D8" s="6" t="n">
        <f aca="false">C8-C7</f>
        <v>607</v>
      </c>
      <c r="E8" s="6" t="s">
        <v>42</v>
      </c>
    </row>
    <row r="9" customFormat="false" ht="10.5" hidden="false" customHeight="false" outlineLevel="0" collapsed="false">
      <c r="A9" s="6" t="s">
        <v>46</v>
      </c>
      <c r="B9" s="7" t="n">
        <v>44459</v>
      </c>
      <c r="C9" s="6" t="n">
        <v>3629</v>
      </c>
      <c r="D9" s="6" t="n">
        <f aca="false">C9-C8</f>
        <v>213</v>
      </c>
      <c r="E9" s="6" t="s">
        <v>47</v>
      </c>
    </row>
    <row r="10" customFormat="false" ht="10.5" hidden="false" customHeight="false" outlineLevel="0" collapsed="false">
      <c r="A10" s="6" t="s">
        <v>40</v>
      </c>
      <c r="B10" s="7" t="n">
        <v>44460</v>
      </c>
      <c r="C10" s="6" t="n">
        <v>4035</v>
      </c>
      <c r="D10" s="6" t="n">
        <f aca="false">C10-C9</f>
        <v>406</v>
      </c>
      <c r="E10" s="6" t="s">
        <v>47</v>
      </c>
    </row>
    <row r="11" customFormat="false" ht="10.5" hidden="false" customHeight="false" outlineLevel="0" collapsed="false">
      <c r="A11" s="6" t="s">
        <v>43</v>
      </c>
      <c r="B11" s="7" t="n">
        <v>44461</v>
      </c>
      <c r="C11" s="6" t="n">
        <v>4300</v>
      </c>
      <c r="D11" s="6" t="n">
        <f aca="false">C11-C10</f>
        <v>265</v>
      </c>
      <c r="E11" s="6" t="s">
        <v>47</v>
      </c>
    </row>
    <row r="12" customFormat="false" ht="10.5" hidden="false" customHeight="false" outlineLevel="0" collapsed="false">
      <c r="A12" s="6" t="s">
        <v>44</v>
      </c>
      <c r="B12" s="7" t="n">
        <v>44462</v>
      </c>
      <c r="C12" s="6" t="n">
        <v>4668</v>
      </c>
      <c r="D12" s="6" t="n">
        <f aca="false">C12-C11</f>
        <v>368</v>
      </c>
      <c r="E12" s="6" t="s">
        <v>47</v>
      </c>
    </row>
    <row r="13" customFormat="false" ht="10.5" hidden="false" customHeight="false" outlineLevel="0" collapsed="false">
      <c r="A13" s="6" t="s">
        <v>45</v>
      </c>
      <c r="B13" s="7" t="n">
        <v>44463</v>
      </c>
      <c r="C13" s="6" t="n">
        <v>4952</v>
      </c>
      <c r="D13" s="6" t="n">
        <f aca="false">C13-C12</f>
        <v>284</v>
      </c>
      <c r="E13" s="6" t="s">
        <v>47</v>
      </c>
    </row>
    <row r="14" customFormat="false" ht="10.5" hidden="false" customHeight="false" outlineLevel="0" collapsed="false">
      <c r="A14" s="6" t="s">
        <v>46</v>
      </c>
      <c r="B14" s="7" t="n">
        <v>44466</v>
      </c>
      <c r="C14" s="6" t="n">
        <v>5320</v>
      </c>
      <c r="D14" s="6" t="n">
        <f aca="false">C14-C13</f>
        <v>368</v>
      </c>
      <c r="E14" s="6" t="s">
        <v>47</v>
      </c>
    </row>
    <row r="15" customFormat="false" ht="10.5" hidden="false" customHeight="false" outlineLevel="0" collapsed="false">
      <c r="A15" s="6" t="s">
        <v>40</v>
      </c>
      <c r="B15" s="7" t="n">
        <v>44467</v>
      </c>
      <c r="C15" s="6" t="n">
        <v>5622</v>
      </c>
      <c r="D15" s="6" t="n">
        <f aca="false">C15-C14</f>
        <v>302</v>
      </c>
      <c r="E15" s="6" t="s">
        <v>47</v>
      </c>
    </row>
    <row r="16" customFormat="false" ht="10.5" hidden="false" customHeight="false" outlineLevel="0" collapsed="false">
      <c r="A16" s="6" t="s">
        <v>43</v>
      </c>
      <c r="B16" s="7" t="n">
        <v>44468</v>
      </c>
      <c r="C16" s="6" t="n">
        <v>6103</v>
      </c>
      <c r="D16" s="6" t="n">
        <f aca="false">C16-C15</f>
        <v>481</v>
      </c>
      <c r="E16" s="6" t="s">
        <v>47</v>
      </c>
    </row>
    <row r="17" customFormat="false" ht="10.5" hidden="false" customHeight="false" outlineLevel="0" collapsed="false">
      <c r="A17" s="6" t="s">
        <v>44</v>
      </c>
      <c r="B17" s="7" t="n">
        <v>44469</v>
      </c>
      <c r="C17" s="6" t="n">
        <v>6103</v>
      </c>
      <c r="D17" s="6" t="n">
        <f aca="false">C17-C16</f>
        <v>0</v>
      </c>
      <c r="E17" s="6" t="s">
        <v>47</v>
      </c>
      <c r="F17" s="1" t="s">
        <v>48</v>
      </c>
    </row>
    <row r="18" customFormat="false" ht="10.5" hidden="false" customHeight="false" outlineLevel="0" collapsed="false">
      <c r="A18" s="6" t="s">
        <v>45</v>
      </c>
      <c r="B18" s="7" t="n">
        <v>44470</v>
      </c>
      <c r="C18" s="6" t="n">
        <v>6279</v>
      </c>
      <c r="D18" s="6" t="n">
        <f aca="false">C18-C17</f>
        <v>176</v>
      </c>
      <c r="E18" s="6" t="s">
        <v>47</v>
      </c>
      <c r="F18" s="1" t="s">
        <v>49</v>
      </c>
    </row>
    <row r="19" customFormat="false" ht="10.5" hidden="false" customHeight="false" outlineLevel="0" collapsed="false">
      <c r="A19" s="6" t="s">
        <v>46</v>
      </c>
      <c r="B19" s="7" t="n">
        <v>44473</v>
      </c>
      <c r="C19" s="6" t="n">
        <v>6740</v>
      </c>
      <c r="D19" s="6" t="n">
        <f aca="false">C19-C18</f>
        <v>461</v>
      </c>
      <c r="E19" s="6" t="s">
        <v>47</v>
      </c>
    </row>
    <row r="20" customFormat="false" ht="10.5" hidden="false" customHeight="false" outlineLevel="0" collapsed="false">
      <c r="A20" s="6" t="s">
        <v>40</v>
      </c>
      <c r="B20" s="7" t="n">
        <v>44474</v>
      </c>
      <c r="C20" s="6" t="n">
        <v>7056</v>
      </c>
      <c r="D20" s="6" t="n">
        <f aca="false">C20-C19</f>
        <v>316</v>
      </c>
      <c r="E20" s="6" t="s">
        <v>47</v>
      </c>
    </row>
    <row r="21" customFormat="false" ht="10.5" hidden="false" customHeight="false" outlineLevel="0" collapsed="false">
      <c r="A21" s="6" t="s">
        <v>43</v>
      </c>
      <c r="B21" s="7" t="n">
        <v>44475</v>
      </c>
      <c r="C21" s="6" t="n">
        <v>7306</v>
      </c>
      <c r="D21" s="6" t="n">
        <f aca="false">C21-C20</f>
        <v>250</v>
      </c>
      <c r="E21" s="6" t="s">
        <v>47</v>
      </c>
    </row>
    <row r="22" customFormat="false" ht="10.5" hidden="false" customHeight="false" outlineLevel="0" collapsed="false">
      <c r="A22" s="6" t="s">
        <v>44</v>
      </c>
      <c r="B22" s="7" t="n">
        <v>44476</v>
      </c>
      <c r="C22" s="6" t="n">
        <v>7651</v>
      </c>
      <c r="D22" s="6" t="n">
        <f aca="false">C22-C21</f>
        <v>345</v>
      </c>
      <c r="E22" s="6" t="s">
        <v>47</v>
      </c>
    </row>
    <row r="23" customFormat="false" ht="10.5" hidden="false" customHeight="false" outlineLevel="0" collapsed="false">
      <c r="A23" s="6" t="s">
        <v>45</v>
      </c>
      <c r="B23" s="7" t="n">
        <v>44477</v>
      </c>
      <c r="C23" s="6" t="n">
        <v>7961</v>
      </c>
      <c r="D23" s="6" t="n">
        <f aca="false">C23-C22</f>
        <v>310</v>
      </c>
      <c r="E23" s="6" t="s">
        <v>47</v>
      </c>
    </row>
    <row r="24" customFormat="false" ht="10.5" hidden="false" customHeight="false" outlineLevel="0" collapsed="false">
      <c r="A24" s="6" t="s">
        <v>46</v>
      </c>
      <c r="B24" s="7" t="n">
        <v>44480</v>
      </c>
      <c r="C24" s="6" t="n">
        <v>7961</v>
      </c>
      <c r="D24" s="6" t="n">
        <v>0</v>
      </c>
      <c r="E24" s="6" t="s">
        <v>47</v>
      </c>
    </row>
    <row r="25" customFormat="false" ht="10.5" hidden="false" customHeight="false" outlineLevel="0" collapsed="false">
      <c r="A25" s="6" t="s">
        <v>40</v>
      </c>
      <c r="B25" s="7" t="n">
        <v>44481</v>
      </c>
      <c r="C25" s="6" t="n">
        <v>8403</v>
      </c>
      <c r="D25" s="6" t="n">
        <f aca="false">C25-C23</f>
        <v>442</v>
      </c>
      <c r="E25" s="6" t="s">
        <v>47</v>
      </c>
    </row>
    <row r="26" customFormat="false" ht="10.5" hidden="false" customHeight="false" outlineLevel="0" collapsed="false">
      <c r="A26" s="6" t="s">
        <v>43</v>
      </c>
      <c r="B26" s="7" t="n">
        <v>44482</v>
      </c>
      <c r="C26" s="6" t="n">
        <v>8832</v>
      </c>
      <c r="D26" s="6" t="n">
        <f aca="false">C26-C25</f>
        <v>429</v>
      </c>
      <c r="E26" s="6" t="s">
        <v>47</v>
      </c>
    </row>
    <row r="27" customFormat="false" ht="10.5" hidden="false" customHeight="false" outlineLevel="0" collapsed="false">
      <c r="A27" s="6" t="s">
        <v>44</v>
      </c>
      <c r="B27" s="7" t="n">
        <v>44483</v>
      </c>
      <c r="C27" s="6" t="n">
        <v>9249</v>
      </c>
      <c r="D27" s="6" t="n">
        <f aca="false">C27-C26</f>
        <v>417</v>
      </c>
      <c r="E27" s="6" t="s">
        <v>47</v>
      </c>
    </row>
    <row r="28" customFormat="false" ht="10.5" hidden="false" customHeight="false" outlineLevel="0" collapsed="false">
      <c r="A28" s="6" t="s">
        <v>45</v>
      </c>
      <c r="B28" s="7" t="n">
        <v>44484</v>
      </c>
      <c r="C28" s="6" t="n">
        <v>9712</v>
      </c>
      <c r="D28" s="6" t="n">
        <f aca="false">C28-C27</f>
        <v>463</v>
      </c>
      <c r="E28" s="6" t="s">
        <v>47</v>
      </c>
    </row>
    <row r="29" customFormat="false" ht="10.5" hidden="false" customHeight="false" outlineLevel="0" collapsed="false">
      <c r="A29" s="6" t="s">
        <v>46</v>
      </c>
      <c r="B29" s="7" t="n">
        <v>44487</v>
      </c>
      <c r="C29" s="6" t="n">
        <v>10279</v>
      </c>
      <c r="D29" s="6" t="n">
        <f aca="false">C29-C28</f>
        <v>567</v>
      </c>
      <c r="E29" s="6" t="s">
        <v>47</v>
      </c>
    </row>
    <row r="30" customFormat="false" ht="10.5" hidden="false" customHeight="false" outlineLevel="0" collapsed="false">
      <c r="A30" s="6" t="s">
        <v>40</v>
      </c>
      <c r="B30" s="7" t="n">
        <v>44488</v>
      </c>
      <c r="C30" s="6" t="n">
        <v>10778</v>
      </c>
      <c r="D30" s="6" t="n">
        <f aca="false">C30-C29</f>
        <v>499</v>
      </c>
      <c r="E30" s="6" t="s">
        <v>47</v>
      </c>
    </row>
    <row r="31" customFormat="false" ht="10.5" hidden="false" customHeight="false" outlineLevel="0" collapsed="false">
      <c r="A31" s="6" t="s">
        <v>43</v>
      </c>
      <c r="B31" s="7" t="n">
        <v>44489</v>
      </c>
      <c r="C31" s="6" t="n">
        <v>10778</v>
      </c>
      <c r="D31" s="6" t="n">
        <f aca="false">C31-C30</f>
        <v>0</v>
      </c>
      <c r="E31" s="6" t="s">
        <v>47</v>
      </c>
      <c r="F31" s="1" t="s">
        <v>50</v>
      </c>
    </row>
    <row r="32" customFormat="false" ht="10.5" hidden="false" customHeight="false" outlineLevel="0" collapsed="false">
      <c r="A32" s="6" t="s">
        <v>44</v>
      </c>
      <c r="B32" s="7" t="n">
        <v>44490</v>
      </c>
      <c r="C32" s="6" t="n">
        <v>11204</v>
      </c>
      <c r="D32" s="6" t="n">
        <f aca="false">C32-C31</f>
        <v>426</v>
      </c>
      <c r="E32" s="6" t="s">
        <v>47</v>
      </c>
    </row>
    <row r="33" customFormat="false" ht="10.5" hidden="false" customHeight="false" outlineLevel="0" collapsed="false">
      <c r="A33" s="6" t="s">
        <v>45</v>
      </c>
      <c r="B33" s="7" t="n">
        <v>44491</v>
      </c>
      <c r="C33" s="6" t="n">
        <v>11551</v>
      </c>
      <c r="D33" s="6" t="n">
        <f aca="false">C33-C32</f>
        <v>347</v>
      </c>
      <c r="E33" s="6" t="s">
        <v>47</v>
      </c>
    </row>
    <row r="34" customFormat="false" ht="10.5" hidden="false" customHeight="false" outlineLevel="0" collapsed="false">
      <c r="A34" s="6" t="s">
        <v>46</v>
      </c>
      <c r="B34" s="7" t="n">
        <v>44494</v>
      </c>
      <c r="C34" s="6" t="n">
        <v>12034</v>
      </c>
      <c r="D34" s="6" t="n">
        <f aca="false">C34-C33</f>
        <v>483</v>
      </c>
      <c r="E34" s="6" t="s">
        <v>47</v>
      </c>
    </row>
    <row r="35" customFormat="false" ht="10.5" hidden="false" customHeight="false" outlineLevel="0" collapsed="false">
      <c r="A35" s="6" t="s">
        <v>40</v>
      </c>
      <c r="B35" s="7" t="n">
        <v>44495</v>
      </c>
      <c r="C35" s="6" t="n">
        <v>12509</v>
      </c>
      <c r="D35" s="6" t="n">
        <f aca="false">C35-C34</f>
        <v>475</v>
      </c>
      <c r="E35" s="6" t="s">
        <v>47</v>
      </c>
    </row>
    <row r="36" customFormat="false" ht="10.5" hidden="false" customHeight="false" outlineLevel="0" collapsed="false">
      <c r="A36" s="6" t="s">
        <v>43</v>
      </c>
      <c r="B36" s="7" t="n">
        <v>44496</v>
      </c>
      <c r="C36" s="6" t="n">
        <v>13046</v>
      </c>
      <c r="D36" s="6" t="n">
        <f aca="false">C36-C35</f>
        <v>537</v>
      </c>
      <c r="E36" s="6" t="s">
        <v>47</v>
      </c>
    </row>
    <row r="37" customFormat="false" ht="10.5" hidden="false" customHeight="false" outlineLevel="0" collapsed="false">
      <c r="A37" s="6" t="s">
        <v>44</v>
      </c>
      <c r="B37" s="7" t="n">
        <v>44497</v>
      </c>
      <c r="C37" s="6" t="n">
        <v>13046</v>
      </c>
      <c r="D37" s="6" t="n">
        <f aca="false">C37-C36</f>
        <v>0</v>
      </c>
      <c r="E37" s="6" t="s">
        <v>47</v>
      </c>
      <c r="F37" s="1" t="s">
        <v>50</v>
      </c>
    </row>
    <row r="38" customFormat="false" ht="10.5" hidden="false" customHeight="false" outlineLevel="0" collapsed="false">
      <c r="A38" s="6" t="s">
        <v>45</v>
      </c>
      <c r="B38" s="7" t="n">
        <v>44498</v>
      </c>
      <c r="C38" s="6" t="n">
        <v>13046</v>
      </c>
      <c r="D38" s="6" t="n">
        <f aca="false">C38-C37</f>
        <v>0</v>
      </c>
      <c r="E38" s="6" t="s">
        <v>47</v>
      </c>
      <c r="F38" s="1" t="s">
        <v>50</v>
      </c>
    </row>
    <row r="39" customFormat="false" ht="10.5" hidden="false" customHeight="false" outlineLevel="0" collapsed="false">
      <c r="A39" s="6" t="s">
        <v>46</v>
      </c>
      <c r="B39" s="7" t="n">
        <v>44501</v>
      </c>
      <c r="C39" s="6" t="n">
        <v>13433</v>
      </c>
      <c r="D39" s="6" t="n">
        <f aca="false">C39-C38</f>
        <v>387</v>
      </c>
      <c r="E39" s="6" t="s">
        <v>47</v>
      </c>
      <c r="F39" s="1" t="s">
        <v>51</v>
      </c>
    </row>
    <row r="40" customFormat="false" ht="10.5" hidden="false" customHeight="false" outlineLevel="0" collapsed="false">
      <c r="A40" s="6" t="s">
        <v>40</v>
      </c>
      <c r="B40" s="7" t="n">
        <v>44502</v>
      </c>
      <c r="C40" s="6" t="n">
        <v>14404</v>
      </c>
      <c r="D40" s="6" t="n">
        <f aca="false">C40-C39</f>
        <v>971</v>
      </c>
      <c r="E40" s="6" t="s">
        <v>47</v>
      </c>
      <c r="F40" s="1" t="s">
        <v>51</v>
      </c>
    </row>
    <row r="41" customFormat="false" ht="10.5" hidden="false" customHeight="false" outlineLevel="0" collapsed="false">
      <c r="A41" s="6" t="s">
        <v>43</v>
      </c>
      <c r="B41" s="7" t="n">
        <v>44503</v>
      </c>
      <c r="C41" s="6" t="n">
        <v>14404</v>
      </c>
      <c r="D41" s="6" t="n">
        <f aca="false">C41-C40</f>
        <v>0</v>
      </c>
      <c r="E41" s="6" t="s">
        <v>47</v>
      </c>
      <c r="F41" s="1" t="s">
        <v>52</v>
      </c>
    </row>
    <row r="42" customFormat="false" ht="10.5" hidden="false" customHeight="false" outlineLevel="0" collapsed="false">
      <c r="A42" s="6" t="s">
        <v>46</v>
      </c>
      <c r="B42" s="7" t="n">
        <v>44508</v>
      </c>
      <c r="C42" s="6" t="n">
        <v>14945</v>
      </c>
      <c r="D42" s="6" t="n">
        <f aca="false">C42-C41</f>
        <v>541</v>
      </c>
      <c r="E42" s="6" t="s">
        <v>47</v>
      </c>
    </row>
    <row r="43" customFormat="false" ht="10.5" hidden="false" customHeight="false" outlineLevel="0" collapsed="false">
      <c r="A43" s="6" t="s">
        <v>40</v>
      </c>
      <c r="B43" s="7" t="n">
        <v>44509</v>
      </c>
      <c r="C43" s="6" t="n">
        <v>15568</v>
      </c>
      <c r="D43" s="6" t="n">
        <f aca="false">C43-C42</f>
        <v>623</v>
      </c>
      <c r="E43" s="6" t="s">
        <v>47</v>
      </c>
    </row>
    <row r="44" customFormat="false" ht="10.5" hidden="false" customHeight="false" outlineLevel="0" collapsed="false">
      <c r="A44" s="6" t="s">
        <v>43</v>
      </c>
      <c r="B44" s="7" t="n">
        <v>44510</v>
      </c>
      <c r="C44" s="6" t="n">
        <v>15971</v>
      </c>
      <c r="D44" s="6" t="n">
        <f aca="false">C44-C43</f>
        <v>403</v>
      </c>
      <c r="E44" s="6" t="s">
        <v>47</v>
      </c>
    </row>
    <row r="45" customFormat="false" ht="10.5" hidden="false" customHeight="false" outlineLevel="0" collapsed="false">
      <c r="A45" s="6" t="s">
        <v>44</v>
      </c>
      <c r="B45" s="7" t="n">
        <v>44511</v>
      </c>
      <c r="C45" s="6" t="n">
        <v>16356</v>
      </c>
      <c r="D45" s="6" t="n">
        <f aca="false">C45-C44</f>
        <v>385</v>
      </c>
      <c r="E45" s="6" t="s">
        <v>47</v>
      </c>
    </row>
    <row r="46" customFormat="false" ht="10.5" hidden="false" customHeight="false" outlineLevel="0" collapsed="false">
      <c r="A46" s="6" t="s">
        <v>45</v>
      </c>
      <c r="B46" s="7" t="n">
        <v>44512</v>
      </c>
      <c r="C46" s="6" t="n">
        <v>16803</v>
      </c>
      <c r="D46" s="6" t="n">
        <f aca="false">C46-C45</f>
        <v>447</v>
      </c>
      <c r="E46" s="6" t="s">
        <v>47</v>
      </c>
    </row>
    <row r="47" customFormat="false" ht="10.5" hidden="false" customHeight="false" outlineLevel="0" collapsed="false">
      <c r="A47" s="6" t="s">
        <v>46</v>
      </c>
      <c r="B47" s="7" t="n">
        <v>44515</v>
      </c>
      <c r="C47" s="6" t="n">
        <v>17118</v>
      </c>
      <c r="D47" s="6" t="n">
        <f aca="false">C47-C46</f>
        <v>315</v>
      </c>
      <c r="E47" s="6" t="s">
        <v>47</v>
      </c>
    </row>
    <row r="48" customFormat="false" ht="10.5" hidden="false" customHeight="false" outlineLevel="0" collapsed="false">
      <c r="A48" s="6" t="s">
        <v>40</v>
      </c>
      <c r="B48" s="7" t="n">
        <v>44516</v>
      </c>
      <c r="C48" s="6" t="n">
        <v>17118</v>
      </c>
      <c r="D48" s="6" t="n">
        <f aca="false">C48-C47</f>
        <v>0</v>
      </c>
      <c r="E48" s="6" t="s">
        <v>47</v>
      </c>
      <c r="F48" s="1" t="s">
        <v>53</v>
      </c>
    </row>
    <row r="49" customFormat="false" ht="10.5" hidden="false" customHeight="false" outlineLevel="0" collapsed="false">
      <c r="A49" s="6" t="s">
        <v>43</v>
      </c>
      <c r="B49" s="7" t="n">
        <v>44517</v>
      </c>
      <c r="C49" s="6" t="n">
        <v>17118</v>
      </c>
      <c r="D49" s="6" t="n">
        <f aca="false">C49-C48</f>
        <v>0</v>
      </c>
      <c r="E49" s="6" t="s">
        <v>47</v>
      </c>
      <c r="F49" s="1" t="s">
        <v>52</v>
      </c>
    </row>
    <row r="50" customFormat="false" ht="10.5" hidden="false" customHeight="false" outlineLevel="0" collapsed="false">
      <c r="A50" s="6" t="s">
        <v>44</v>
      </c>
      <c r="B50" s="7" t="n">
        <v>44518</v>
      </c>
      <c r="C50" s="6" t="n">
        <v>17491</v>
      </c>
      <c r="D50" s="6" t="n">
        <f aca="false">C50-C49</f>
        <v>373</v>
      </c>
      <c r="E50" s="6" t="s">
        <v>47</v>
      </c>
    </row>
    <row r="51" customFormat="false" ht="10.5" hidden="false" customHeight="false" outlineLevel="0" collapsed="false">
      <c r="A51" s="6" t="s">
        <v>45</v>
      </c>
      <c r="B51" s="7" t="n">
        <v>44519</v>
      </c>
      <c r="C51" s="6" t="n">
        <v>17872</v>
      </c>
      <c r="D51" s="6" t="n">
        <f aca="false">C51-C50</f>
        <v>381</v>
      </c>
      <c r="E51" s="6" t="s">
        <v>47</v>
      </c>
    </row>
    <row r="52" customFormat="false" ht="10.5" hidden="false" customHeight="false" outlineLevel="0" collapsed="false">
      <c r="A52" s="6" t="s">
        <v>46</v>
      </c>
      <c r="B52" s="7" t="n">
        <v>44522</v>
      </c>
      <c r="C52" s="6" t="n">
        <v>18243</v>
      </c>
      <c r="D52" s="6" t="n">
        <f aca="false">C52-C51</f>
        <v>371</v>
      </c>
      <c r="E52" s="6" t="s">
        <v>47</v>
      </c>
    </row>
    <row r="53" customFormat="false" ht="10.5" hidden="false" customHeight="false" outlineLevel="0" collapsed="false">
      <c r="A53" s="6" t="s">
        <v>40</v>
      </c>
      <c r="B53" s="7" t="n">
        <v>44523</v>
      </c>
      <c r="C53" s="6" t="n">
        <v>18706</v>
      </c>
      <c r="D53" s="6" t="n">
        <f aca="false">C53-C52</f>
        <v>463</v>
      </c>
      <c r="E53" s="6" t="s">
        <v>47</v>
      </c>
    </row>
    <row r="54" customFormat="false" ht="10.5" hidden="false" customHeight="false" outlineLevel="0" collapsed="false">
      <c r="A54" s="6" t="s">
        <v>43</v>
      </c>
      <c r="B54" s="7" t="n">
        <v>44524</v>
      </c>
      <c r="C54" s="6" t="n">
        <v>19032</v>
      </c>
      <c r="D54" s="6" t="n">
        <f aca="false">C54-C53</f>
        <v>326</v>
      </c>
      <c r="E54" s="6" t="s">
        <v>47</v>
      </c>
      <c r="F54" s="1" t="s">
        <v>54</v>
      </c>
    </row>
    <row r="55" customFormat="false" ht="10.5" hidden="false" customHeight="false" outlineLevel="0" collapsed="false">
      <c r="A55" s="6" t="s">
        <v>44</v>
      </c>
      <c r="B55" s="7" t="n">
        <v>44525</v>
      </c>
      <c r="C55" s="6" t="n">
        <v>19483</v>
      </c>
      <c r="D55" s="6" t="n">
        <f aca="false">C55-C54</f>
        <v>451</v>
      </c>
      <c r="E55" s="6" t="s">
        <v>47</v>
      </c>
    </row>
    <row r="56" customFormat="false" ht="10.5" hidden="false" customHeight="false" outlineLevel="0" collapsed="false">
      <c r="A56" s="6" t="s">
        <v>45</v>
      </c>
      <c r="B56" s="7" t="n">
        <v>44526</v>
      </c>
      <c r="C56" s="6" t="n">
        <v>19825</v>
      </c>
      <c r="D56" s="6" t="n">
        <f aca="false">C56-C55</f>
        <v>342</v>
      </c>
      <c r="E56" s="6" t="s">
        <v>47</v>
      </c>
    </row>
    <row r="57" customFormat="false" ht="10.5" hidden="false" customHeight="false" outlineLevel="0" collapsed="false">
      <c r="A57" s="6" t="s">
        <v>46</v>
      </c>
      <c r="B57" s="7" t="n">
        <v>44529</v>
      </c>
      <c r="C57" s="6" t="n">
        <v>20368</v>
      </c>
      <c r="D57" s="6" t="n">
        <f aca="false">C57-C56</f>
        <v>543</v>
      </c>
      <c r="E57" s="6" t="s">
        <v>47</v>
      </c>
    </row>
    <row r="58" customFormat="false" ht="10.5" hidden="false" customHeight="false" outlineLevel="0" collapsed="false">
      <c r="A58" s="6" t="s">
        <v>40</v>
      </c>
      <c r="B58" s="7" t="n">
        <v>44530</v>
      </c>
      <c r="C58" s="6" t="n">
        <v>21118</v>
      </c>
      <c r="D58" s="6" t="n">
        <f aca="false">C58-C57</f>
        <v>750</v>
      </c>
      <c r="E58" s="6" t="s">
        <v>47</v>
      </c>
      <c r="F58" s="1" t="n">
        <f aca="false">AVERAGE(D3:D58)</f>
        <v>364.928571428571</v>
      </c>
    </row>
    <row r="59" customFormat="false" ht="10.5" hidden="false" customHeight="false" outlineLevel="0" collapsed="false">
      <c r="A59" s="6" t="s">
        <v>43</v>
      </c>
      <c r="B59" s="7" t="n">
        <v>44531</v>
      </c>
      <c r="C59" s="6" t="n">
        <v>21735</v>
      </c>
      <c r="D59" s="6" t="n">
        <f aca="false">C59-C58</f>
        <v>617</v>
      </c>
      <c r="E59" s="6" t="s">
        <v>47</v>
      </c>
    </row>
    <row r="60" customFormat="false" ht="10.5" hidden="false" customHeight="false" outlineLevel="0" collapsed="false">
      <c r="A60" s="6" t="s">
        <v>44</v>
      </c>
      <c r="B60" s="7" t="n">
        <v>44532</v>
      </c>
      <c r="C60" s="6" t="n">
        <v>22321</v>
      </c>
      <c r="D60" s="6" t="n">
        <f aca="false">C60-C59</f>
        <v>586</v>
      </c>
      <c r="E60" s="6" t="s">
        <v>47</v>
      </c>
    </row>
    <row r="61" customFormat="false" ht="10.5" hidden="false" customHeight="false" outlineLevel="0" collapsed="false">
      <c r="A61" s="6" t="s">
        <v>45</v>
      </c>
      <c r="B61" s="7" t="n">
        <v>44533</v>
      </c>
      <c r="C61" s="6" t="n">
        <v>22700</v>
      </c>
      <c r="D61" s="6" t="n">
        <f aca="false">C61-C60</f>
        <v>379</v>
      </c>
      <c r="E61" s="6" t="s">
        <v>47</v>
      </c>
    </row>
    <row r="62" customFormat="false" ht="10.5" hidden="false" customHeight="false" outlineLevel="0" collapsed="false">
      <c r="A62" s="6" t="s">
        <v>46</v>
      </c>
      <c r="B62" s="7" t="n">
        <v>44536</v>
      </c>
      <c r="C62" s="6" t="n">
        <v>23121</v>
      </c>
      <c r="D62" s="6" t="n">
        <f aca="false">C62-C61</f>
        <v>421</v>
      </c>
      <c r="E62" s="6" t="s">
        <v>47</v>
      </c>
      <c r="F62" s="1" t="s">
        <v>55</v>
      </c>
    </row>
    <row r="63" customFormat="false" ht="10.5" hidden="false" customHeight="false" outlineLevel="0" collapsed="false">
      <c r="A63" s="6" t="s">
        <v>40</v>
      </c>
      <c r="B63" s="7" t="n">
        <v>44537</v>
      </c>
      <c r="C63" s="6" t="n">
        <v>23721</v>
      </c>
      <c r="D63" s="6" t="n">
        <f aca="false">C63-C62</f>
        <v>600</v>
      </c>
      <c r="E63" s="6" t="s">
        <v>47</v>
      </c>
    </row>
    <row r="64" customFormat="false" ht="10.5" hidden="false" customHeight="false" outlineLevel="0" collapsed="false">
      <c r="A64" s="6" t="s">
        <v>43</v>
      </c>
      <c r="B64" s="7" t="n">
        <v>44538</v>
      </c>
      <c r="C64" s="6" t="n">
        <v>24265</v>
      </c>
      <c r="D64" s="6" t="n">
        <f aca="false">C64-C63</f>
        <v>544</v>
      </c>
      <c r="E64" s="6" t="s">
        <v>47</v>
      </c>
    </row>
    <row r="65" customFormat="false" ht="10.5" hidden="false" customHeight="false" outlineLevel="0" collapsed="false">
      <c r="A65" s="6" t="s">
        <v>44</v>
      </c>
      <c r="B65" s="7" t="n">
        <v>44539</v>
      </c>
      <c r="C65" s="6" t="n">
        <v>24730</v>
      </c>
      <c r="D65" s="6" t="n">
        <f aca="false">C65-C64</f>
        <v>465</v>
      </c>
      <c r="E65" s="6" t="s">
        <v>47</v>
      </c>
    </row>
    <row r="66" customFormat="false" ht="10.5" hidden="false" customHeight="false" outlineLevel="0" collapsed="false">
      <c r="A66" s="6" t="s">
        <v>45</v>
      </c>
      <c r="B66" s="7" t="n">
        <v>44540</v>
      </c>
      <c r="C66" s="6" t="n">
        <v>25400</v>
      </c>
      <c r="D66" s="6" t="n">
        <f aca="false">C66-C65</f>
        <v>670</v>
      </c>
      <c r="E66" s="6" t="s">
        <v>47</v>
      </c>
    </row>
    <row r="67" customFormat="false" ht="10.5" hidden="false" customHeight="false" outlineLevel="0" collapsed="false">
      <c r="A67" s="6" t="s">
        <v>46</v>
      </c>
      <c r="B67" s="7" t="n">
        <v>44543</v>
      </c>
      <c r="C67" s="6" t="n">
        <v>26076</v>
      </c>
      <c r="D67" s="6" t="n">
        <f aca="false">C67-C66</f>
        <v>676</v>
      </c>
      <c r="E67" s="6" t="s">
        <v>47</v>
      </c>
      <c r="P67" s="8" t="s">
        <v>39</v>
      </c>
    </row>
    <row r="68" customFormat="false" ht="10.5" hidden="false" customHeight="false" outlineLevel="0" collapsed="false">
      <c r="A68" s="6" t="s">
        <v>40</v>
      </c>
      <c r="B68" s="7" t="n">
        <v>44544</v>
      </c>
      <c r="C68" s="6" t="n">
        <v>26582</v>
      </c>
      <c r="D68" s="6" t="n">
        <f aca="false">C68-C67</f>
        <v>506</v>
      </c>
      <c r="E68" s="6" t="s">
        <v>47</v>
      </c>
      <c r="P68" s="8"/>
    </row>
    <row r="69" customFormat="false" ht="10.5" hidden="false" customHeight="false" outlineLevel="0" collapsed="false">
      <c r="A69" s="6" t="s">
        <v>43</v>
      </c>
      <c r="B69" s="7" t="n">
        <v>44545</v>
      </c>
      <c r="C69" s="6" t="n">
        <v>27184</v>
      </c>
      <c r="D69" s="6" t="n">
        <f aca="false">C69-C68</f>
        <v>602</v>
      </c>
      <c r="E69" s="6" t="s">
        <v>47</v>
      </c>
      <c r="P69" s="8"/>
    </row>
    <row r="70" customFormat="false" ht="10.5" hidden="false" customHeight="false" outlineLevel="0" collapsed="false">
      <c r="A70" s="6" t="s">
        <v>44</v>
      </c>
      <c r="B70" s="7" t="n">
        <v>44546</v>
      </c>
      <c r="C70" s="6" t="n">
        <v>27795</v>
      </c>
      <c r="D70" s="6" t="n">
        <f aca="false">C70-C69</f>
        <v>611</v>
      </c>
      <c r="E70" s="6" t="s">
        <v>47</v>
      </c>
      <c r="P70" s="8"/>
    </row>
    <row r="71" customFormat="false" ht="10.5" hidden="false" customHeight="false" outlineLevel="0" collapsed="false">
      <c r="A71" s="6" t="s">
        <v>45</v>
      </c>
      <c r="B71" s="7" t="n">
        <v>44547</v>
      </c>
      <c r="C71" s="6" t="n">
        <v>28351</v>
      </c>
      <c r="D71" s="6" t="n">
        <f aca="false">C71-C70</f>
        <v>556</v>
      </c>
      <c r="E71" s="6" t="s">
        <v>47</v>
      </c>
      <c r="P71" s="8"/>
    </row>
    <row r="72" customFormat="false" ht="10.5" hidden="false" customHeight="false" outlineLevel="0" collapsed="false">
      <c r="A72" s="6" t="s">
        <v>40</v>
      </c>
      <c r="B72" s="7" t="n">
        <v>44551</v>
      </c>
      <c r="C72" s="6" t="n">
        <v>28903</v>
      </c>
      <c r="D72" s="6" t="n">
        <f aca="false">C72-C71</f>
        <v>552</v>
      </c>
      <c r="E72" s="6" t="s">
        <v>47</v>
      </c>
      <c r="P72" s="8" t="s">
        <v>56</v>
      </c>
    </row>
    <row r="73" customFormat="false" ht="10.5" hidden="false" customHeight="false" outlineLevel="0" collapsed="false">
      <c r="A73" s="6" t="s">
        <v>43</v>
      </c>
      <c r="B73" s="7" t="n">
        <v>44552</v>
      </c>
      <c r="C73" s="6" t="n">
        <v>28994</v>
      </c>
      <c r="D73" s="6" t="n">
        <f aca="false">C73-C72</f>
        <v>91</v>
      </c>
      <c r="E73" s="6" t="s">
        <v>47</v>
      </c>
      <c r="F73" s="1" t="s">
        <v>57</v>
      </c>
      <c r="P73" s="8"/>
    </row>
    <row r="74" customFormat="false" ht="10.5" hidden="false" customHeight="false" outlineLevel="0" collapsed="false">
      <c r="A74" s="6" t="s">
        <v>44</v>
      </c>
      <c r="B74" s="7" t="n">
        <v>44553</v>
      </c>
      <c r="C74" s="6" t="n">
        <v>29798</v>
      </c>
      <c r="D74" s="6" t="n">
        <f aca="false">C74-C73</f>
        <v>804</v>
      </c>
      <c r="E74" s="6" t="s">
        <v>47</v>
      </c>
      <c r="P74" s="9"/>
    </row>
    <row r="75" customFormat="false" ht="10.5" hidden="false" customHeight="false" outlineLevel="0" collapsed="false">
      <c r="A75" s="6" t="s">
        <v>46</v>
      </c>
      <c r="B75" s="7" t="n">
        <v>44557</v>
      </c>
      <c r="C75" s="6" t="n">
        <v>30319</v>
      </c>
      <c r="D75" s="6" t="n">
        <f aca="false">C75-C74</f>
        <v>521</v>
      </c>
      <c r="E75" s="6" t="s">
        <v>47</v>
      </c>
    </row>
    <row r="76" customFormat="false" ht="10.5" hidden="false" customHeight="false" outlineLevel="0" collapsed="false">
      <c r="A76" s="6" t="s">
        <v>40</v>
      </c>
      <c r="B76" s="7" t="n">
        <v>44558</v>
      </c>
      <c r="C76" s="6" t="n">
        <v>30883</v>
      </c>
      <c r="D76" s="6" t="n">
        <f aca="false">C76-C75</f>
        <v>564</v>
      </c>
      <c r="E76" s="6" t="s">
        <v>47</v>
      </c>
      <c r="M76" s="6"/>
      <c r="N76" s="6"/>
      <c r="O76" s="6"/>
    </row>
    <row r="77" customFormat="false" ht="10.5" hidden="false" customHeight="false" outlineLevel="0" collapsed="false">
      <c r="A77" s="6" t="s">
        <v>43</v>
      </c>
      <c r="B77" s="7" t="n">
        <v>44559</v>
      </c>
      <c r="C77" s="6" t="n">
        <v>31428</v>
      </c>
      <c r="D77" s="6" t="n">
        <f aca="false">C77-C76</f>
        <v>545</v>
      </c>
      <c r="E77" s="6" t="s">
        <v>47</v>
      </c>
      <c r="M77" s="6"/>
      <c r="N77" s="6"/>
      <c r="O77" s="6"/>
    </row>
    <row r="78" customFormat="false" ht="10.5" hidden="false" customHeight="false" outlineLevel="0" collapsed="false">
      <c r="A78" s="6" t="s">
        <v>46</v>
      </c>
      <c r="B78" s="7" t="n">
        <v>44199</v>
      </c>
      <c r="C78" s="6" t="n">
        <v>32021</v>
      </c>
      <c r="D78" s="6" t="n">
        <f aca="false">C78-C77</f>
        <v>593</v>
      </c>
      <c r="E78" s="6" t="s">
        <v>47</v>
      </c>
      <c r="M78" s="6"/>
      <c r="N78" s="6"/>
      <c r="O78" s="6"/>
    </row>
    <row r="79" customFormat="false" ht="10.5" hidden="false" customHeight="false" outlineLevel="0" collapsed="false">
      <c r="A79" s="6" t="s">
        <v>40</v>
      </c>
      <c r="B79" s="7" t="n">
        <v>44200</v>
      </c>
      <c r="C79" s="6" t="n">
        <v>32602</v>
      </c>
      <c r="D79" s="6" t="n">
        <f aca="false">C79-C78</f>
        <v>581</v>
      </c>
      <c r="E79" s="6" t="s">
        <v>47</v>
      </c>
      <c r="M79" s="6"/>
      <c r="N79" s="6"/>
      <c r="O79" s="6"/>
    </row>
    <row r="80" customFormat="false" ht="10.5" hidden="false" customHeight="false" outlineLevel="0" collapsed="false">
      <c r="A80" s="6" t="s">
        <v>43</v>
      </c>
      <c r="B80" s="7" t="n">
        <v>44201</v>
      </c>
      <c r="C80" s="6" t="n">
        <v>33013</v>
      </c>
      <c r="D80" s="6" t="n">
        <f aca="false">C80-C79</f>
        <v>411</v>
      </c>
      <c r="E80" s="6" t="s">
        <v>47</v>
      </c>
      <c r="F80" s="1" t="s">
        <v>58</v>
      </c>
      <c r="M80" s="6"/>
      <c r="N80" s="6"/>
      <c r="O80" s="6"/>
    </row>
    <row r="81" customFormat="false" ht="10.5" hidden="false" customHeight="false" outlineLevel="0" collapsed="false">
      <c r="A81" s="6" t="s">
        <v>44</v>
      </c>
      <c r="B81" s="7" t="n">
        <v>44202</v>
      </c>
      <c r="C81" s="6" t="n">
        <v>33572</v>
      </c>
      <c r="D81" s="6" t="n">
        <f aca="false">C81-C80</f>
        <v>559</v>
      </c>
      <c r="E81" s="6" t="s">
        <v>47</v>
      </c>
      <c r="M81" s="6"/>
      <c r="N81" s="6"/>
      <c r="O81" s="6"/>
    </row>
    <row r="82" customFormat="false" ht="10.5" hidden="false" customHeight="false" outlineLevel="0" collapsed="false">
      <c r="A82" s="6" t="s">
        <v>45</v>
      </c>
      <c r="B82" s="7" t="n">
        <v>44203</v>
      </c>
      <c r="C82" s="6" t="n">
        <v>34078</v>
      </c>
      <c r="D82" s="6" t="n">
        <f aca="false">C82-C81</f>
        <v>506</v>
      </c>
      <c r="E82" s="6" t="s">
        <v>47</v>
      </c>
      <c r="M82" s="6"/>
      <c r="N82" s="6"/>
      <c r="O82" s="6"/>
    </row>
    <row r="83" customFormat="false" ht="10.5" hidden="false" customHeight="false" outlineLevel="0" collapsed="false">
      <c r="A83" s="6" t="s">
        <v>46</v>
      </c>
      <c r="B83" s="7" t="n">
        <v>44206</v>
      </c>
      <c r="C83" s="6" t="n">
        <v>34666</v>
      </c>
      <c r="D83" s="6" t="n">
        <f aca="false">C83-C82</f>
        <v>588</v>
      </c>
      <c r="E83" s="6" t="s">
        <v>47</v>
      </c>
    </row>
    <row r="84" customFormat="false" ht="10.5" hidden="false" customHeight="false" outlineLevel="0" collapsed="false">
      <c r="A84" s="6" t="s">
        <v>43</v>
      </c>
      <c r="B84" s="7" t="n">
        <v>44208</v>
      </c>
      <c r="C84" s="6" t="n">
        <v>35274</v>
      </c>
      <c r="D84" s="6" t="n">
        <f aca="false">C84-C83</f>
        <v>608</v>
      </c>
      <c r="E84" s="6" t="s">
        <v>47</v>
      </c>
    </row>
    <row r="85" customFormat="false" ht="10.5" hidden="false" customHeight="false" outlineLevel="0" collapsed="false">
      <c r="A85" s="6" t="s">
        <v>45</v>
      </c>
      <c r="B85" s="7" t="n">
        <v>44210</v>
      </c>
      <c r="C85" s="6" t="n">
        <v>35877</v>
      </c>
      <c r="D85" s="6" t="n">
        <f aca="false">C85-C84</f>
        <v>603</v>
      </c>
      <c r="E85" s="6" t="s">
        <v>47</v>
      </c>
    </row>
    <row r="86" customFormat="false" ht="10.5" hidden="false" customHeight="false" outlineLevel="0" collapsed="false">
      <c r="A86" s="6" t="s">
        <v>40</v>
      </c>
      <c r="B86" s="7" t="n">
        <v>44214</v>
      </c>
      <c r="C86" s="6" t="n">
        <v>36472</v>
      </c>
      <c r="D86" s="6" t="n">
        <f aca="false">C86-C85</f>
        <v>595</v>
      </c>
      <c r="E86" s="6" t="s">
        <v>47</v>
      </c>
    </row>
    <row r="87" customFormat="false" ht="10.5" hidden="false" customHeight="false" outlineLevel="0" collapsed="false">
      <c r="A87" s="6" t="s">
        <v>43</v>
      </c>
      <c r="B87" s="7" t="n">
        <v>44215</v>
      </c>
      <c r="C87" s="6" t="n">
        <v>37261</v>
      </c>
      <c r="D87" s="6" t="n">
        <f aca="false">C87-C86</f>
        <v>789</v>
      </c>
      <c r="E87" s="6" t="s">
        <v>47</v>
      </c>
    </row>
    <row r="88" customFormat="false" ht="10.5" hidden="false" customHeight="false" outlineLevel="0" collapsed="false">
      <c r="A88" s="6" t="s">
        <v>45</v>
      </c>
      <c r="B88" s="7" t="n">
        <v>44217</v>
      </c>
      <c r="C88" s="6" t="n">
        <v>37965</v>
      </c>
      <c r="D88" s="6" t="n">
        <f aca="false">C88-C87</f>
        <v>704</v>
      </c>
      <c r="E88" s="6" t="s">
        <v>47</v>
      </c>
    </row>
    <row r="89" customFormat="false" ht="10.5" hidden="false" customHeight="false" outlineLevel="0" collapsed="false">
      <c r="A89" s="6" t="s">
        <v>40</v>
      </c>
      <c r="B89" s="7" t="n">
        <v>44586</v>
      </c>
      <c r="C89" s="6" t="n">
        <v>38693</v>
      </c>
      <c r="D89" s="6" t="n">
        <f aca="false">C89-C88</f>
        <v>728</v>
      </c>
      <c r="E89" s="6" t="s">
        <v>47</v>
      </c>
    </row>
    <row r="90" customFormat="false" ht="10.5" hidden="false" customHeight="false" outlineLevel="0" collapsed="false">
      <c r="A90" s="6" t="s">
        <v>43</v>
      </c>
      <c r="B90" s="7" t="n">
        <v>44587</v>
      </c>
      <c r="C90" s="6" t="n">
        <v>38810</v>
      </c>
      <c r="D90" s="6" t="n">
        <f aca="false">C90-C89</f>
        <v>117</v>
      </c>
      <c r="E90" s="6" t="s">
        <v>47</v>
      </c>
      <c r="F90" s="1" t="s">
        <v>58</v>
      </c>
    </row>
    <row r="91" customFormat="false" ht="10.5" hidden="false" customHeight="false" outlineLevel="0" collapsed="false">
      <c r="A91" s="6" t="s">
        <v>44</v>
      </c>
      <c r="B91" s="7" t="n">
        <v>44588</v>
      </c>
      <c r="C91" s="6" t="n">
        <v>39637</v>
      </c>
      <c r="D91" s="6" t="n">
        <f aca="false">C91-C90</f>
        <v>827</v>
      </c>
      <c r="E91" s="6" t="s">
        <v>47</v>
      </c>
    </row>
    <row r="92" customFormat="false" ht="10.5" hidden="false" customHeight="false" outlineLevel="0" collapsed="false">
      <c r="A92" s="6" t="s">
        <v>45</v>
      </c>
      <c r="B92" s="7" t="n">
        <v>44589</v>
      </c>
      <c r="C92" s="6" t="n">
        <v>40157</v>
      </c>
      <c r="D92" s="6" t="n">
        <f aca="false">C92-C91</f>
        <v>520</v>
      </c>
      <c r="E92" s="6" t="s">
        <v>47</v>
      </c>
    </row>
    <row r="93" customFormat="false" ht="10.5" hidden="false" customHeight="false" outlineLevel="0" collapsed="false">
      <c r="A93" s="6" t="s">
        <v>44</v>
      </c>
      <c r="B93" s="7" t="n">
        <v>44595</v>
      </c>
      <c r="C93" s="6" t="n">
        <v>40497</v>
      </c>
      <c r="D93" s="6" t="n">
        <f aca="false">C93-C92</f>
        <v>340</v>
      </c>
      <c r="E93" s="6" t="s">
        <v>47</v>
      </c>
    </row>
    <row r="94" customFormat="false" ht="10.5" hidden="false" customHeight="false" outlineLevel="0" collapsed="false">
      <c r="A94" s="6" t="s">
        <v>45</v>
      </c>
      <c r="B94" s="7" t="n">
        <v>44596</v>
      </c>
      <c r="C94" s="6" t="n">
        <v>41091</v>
      </c>
      <c r="D94" s="6" t="n">
        <f aca="false">C94-C93</f>
        <v>594</v>
      </c>
      <c r="E94" s="6" t="s">
        <v>47</v>
      </c>
    </row>
    <row r="95" customFormat="false" ht="10.5" hidden="false" customHeight="false" outlineLevel="0" collapsed="false">
      <c r="A95" s="6" t="s">
        <v>46</v>
      </c>
      <c r="B95" s="7" t="n">
        <v>44599</v>
      </c>
      <c r="C95" s="6" t="n">
        <v>41884</v>
      </c>
      <c r="D95" s="6" t="n">
        <f aca="false">C95-C94</f>
        <v>793</v>
      </c>
      <c r="E95" s="6" t="s">
        <v>47</v>
      </c>
    </row>
    <row r="96" customFormat="false" ht="10.5" hidden="false" customHeight="false" outlineLevel="0" collapsed="false">
      <c r="A96" s="6" t="s">
        <v>40</v>
      </c>
      <c r="B96" s="7" t="n">
        <v>44600</v>
      </c>
      <c r="C96" s="6" t="n">
        <v>42387</v>
      </c>
      <c r="D96" s="6" t="n">
        <f aca="false">C96-C95</f>
        <v>503</v>
      </c>
      <c r="E96" s="6" t="s">
        <v>47</v>
      </c>
    </row>
    <row r="97" customFormat="false" ht="10.5" hidden="false" customHeight="false" outlineLevel="0" collapsed="false">
      <c r="A97" s="6" t="s">
        <v>43</v>
      </c>
      <c r="B97" s="7" t="n">
        <v>44601</v>
      </c>
      <c r="C97" s="6" t="n">
        <v>42845</v>
      </c>
      <c r="D97" s="6" t="n">
        <f aca="false">C97-C96</f>
        <v>458</v>
      </c>
      <c r="E97" s="6" t="s">
        <v>47</v>
      </c>
    </row>
    <row r="98" customFormat="false" ht="10.5" hidden="false" customHeight="false" outlineLevel="0" collapsed="false">
      <c r="A98" s="6" t="s">
        <v>44</v>
      </c>
      <c r="B98" s="7" t="n">
        <v>44602</v>
      </c>
      <c r="C98" s="6" t="n">
        <v>43376</v>
      </c>
      <c r="D98" s="6" t="n">
        <f aca="false">C98-C97</f>
        <v>531</v>
      </c>
      <c r="E98" s="6" t="s">
        <v>47</v>
      </c>
    </row>
    <row r="99" s="6" customFormat="true" ht="10.5" hidden="false" customHeight="false" outlineLevel="0" collapsed="false">
      <c r="A99" s="6" t="s">
        <v>45</v>
      </c>
      <c r="B99" s="7" t="n">
        <v>44603</v>
      </c>
      <c r="C99" s="6" t="n">
        <v>43927</v>
      </c>
      <c r="D99" s="6" t="n">
        <f aca="false">C99-C98</f>
        <v>551</v>
      </c>
      <c r="E99" s="6" t="s">
        <v>47</v>
      </c>
      <c r="F99" s="1"/>
    </row>
    <row r="100" customFormat="false" ht="10.5" hidden="false" customHeight="false" outlineLevel="0" collapsed="false">
      <c r="A100" s="6" t="s">
        <v>46</v>
      </c>
      <c r="B100" s="7" t="n">
        <v>44606</v>
      </c>
      <c r="C100" s="6" t="n">
        <v>44224</v>
      </c>
      <c r="D100" s="6" t="n">
        <f aca="false">C100-C99</f>
        <v>297</v>
      </c>
      <c r="E100" s="6" t="s">
        <v>47</v>
      </c>
    </row>
    <row r="101" customFormat="false" ht="10.5" hidden="false" customHeight="false" outlineLevel="0" collapsed="false">
      <c r="A101" s="6" t="s">
        <v>40</v>
      </c>
      <c r="B101" s="7" t="n">
        <v>44607</v>
      </c>
      <c r="C101" s="6" t="n">
        <v>44897</v>
      </c>
      <c r="D101" s="6" t="n">
        <f aca="false">C101-C100</f>
        <v>673</v>
      </c>
      <c r="E101" s="6" t="s">
        <v>47</v>
      </c>
    </row>
    <row r="102" customFormat="false" ht="10.5" hidden="false" customHeight="false" outlineLevel="0" collapsed="false">
      <c r="A102" s="6" t="s">
        <v>43</v>
      </c>
      <c r="B102" s="7" t="n">
        <v>44608</v>
      </c>
      <c r="C102" s="6" t="n">
        <v>45087</v>
      </c>
      <c r="D102" s="6" t="n">
        <f aca="false">C102-C101</f>
        <v>190</v>
      </c>
      <c r="E102" s="6" t="s">
        <v>47</v>
      </c>
    </row>
    <row r="103" customFormat="false" ht="10.5" hidden="false" customHeight="false" outlineLevel="0" collapsed="false">
      <c r="A103" s="6" t="s">
        <v>44</v>
      </c>
      <c r="B103" s="7" t="n">
        <v>44609</v>
      </c>
      <c r="C103" s="6" t="n">
        <v>45727</v>
      </c>
      <c r="D103" s="6" t="n">
        <f aca="false">C103-C102</f>
        <v>640</v>
      </c>
      <c r="E103" s="6" t="s">
        <v>47</v>
      </c>
    </row>
    <row r="104" customFormat="false" ht="10.5" hidden="false" customHeight="false" outlineLevel="0" collapsed="false">
      <c r="A104" s="6" t="s">
        <v>45</v>
      </c>
      <c r="B104" s="7" t="n">
        <v>44610</v>
      </c>
      <c r="C104" s="6" t="n">
        <v>46273</v>
      </c>
      <c r="D104" s="6" t="n">
        <f aca="false">C104-C103</f>
        <v>546</v>
      </c>
      <c r="E104" s="6" t="s">
        <v>47</v>
      </c>
    </row>
    <row r="105" customFormat="false" ht="10.5" hidden="false" customHeight="false" outlineLevel="0" collapsed="false">
      <c r="A105" s="6" t="s">
        <v>46</v>
      </c>
      <c r="B105" s="7" t="n">
        <v>44613</v>
      </c>
      <c r="C105" s="6" t="n">
        <v>46514</v>
      </c>
      <c r="D105" s="6" t="n">
        <f aca="false">C105-C104</f>
        <v>241</v>
      </c>
      <c r="E105" s="6" t="s">
        <v>47</v>
      </c>
      <c r="F105" s="1" t="s">
        <v>59</v>
      </c>
    </row>
    <row r="106" customFormat="false" ht="10.5" hidden="false" customHeight="false" outlineLevel="0" collapsed="false">
      <c r="A106" s="6" t="s">
        <v>40</v>
      </c>
      <c r="B106" s="7" t="n">
        <v>44614</v>
      </c>
      <c r="C106" s="6" t="n">
        <v>47071</v>
      </c>
      <c r="D106" s="6" t="n">
        <f aca="false">C106-C105</f>
        <v>557</v>
      </c>
      <c r="E106" s="6" t="s">
        <v>47</v>
      </c>
    </row>
    <row r="107" customFormat="false" ht="10.5" hidden="false" customHeight="false" outlineLevel="0" collapsed="false">
      <c r="A107" s="6" t="s">
        <v>43</v>
      </c>
      <c r="B107" s="7" t="n">
        <v>44615</v>
      </c>
      <c r="C107" s="6" t="n">
        <v>47544</v>
      </c>
      <c r="D107" s="6" t="n">
        <f aca="false">C107-C106</f>
        <v>473</v>
      </c>
      <c r="E107" s="6" t="s">
        <v>47</v>
      </c>
    </row>
    <row r="108" customFormat="false" ht="10.5" hidden="false" customHeight="false" outlineLevel="0" collapsed="false">
      <c r="A108" s="6" t="s">
        <v>44</v>
      </c>
      <c r="B108" s="7" t="n">
        <v>44616</v>
      </c>
      <c r="C108" s="6" t="n">
        <v>48137</v>
      </c>
      <c r="D108" s="6" t="n">
        <f aca="false">C108-C107</f>
        <v>593</v>
      </c>
      <c r="E108" s="6" t="s">
        <v>47</v>
      </c>
    </row>
    <row r="109" customFormat="false" ht="10.5" hidden="false" customHeight="false" outlineLevel="0" collapsed="false">
      <c r="A109" s="6" t="s">
        <v>45</v>
      </c>
      <c r="B109" s="7" t="n">
        <v>44617</v>
      </c>
      <c r="C109" s="6" t="n">
        <v>48785</v>
      </c>
      <c r="D109" s="6" t="n">
        <f aca="false">C109-C108</f>
        <v>648</v>
      </c>
      <c r="E109" s="6" t="s">
        <v>47</v>
      </c>
    </row>
    <row r="110" customFormat="false" ht="10.5" hidden="false" customHeight="false" outlineLevel="0" collapsed="false">
      <c r="A110" s="6" t="s">
        <v>46</v>
      </c>
      <c r="B110" s="7" t="n">
        <v>44620</v>
      </c>
      <c r="C110" s="6" t="n">
        <v>49423</v>
      </c>
      <c r="D110" s="6" t="n">
        <f aca="false">C110-C109</f>
        <v>638</v>
      </c>
      <c r="E110" s="6" t="s">
        <v>47</v>
      </c>
    </row>
    <row r="111" customFormat="false" ht="10.5" hidden="false" customHeight="false" outlineLevel="0" collapsed="false">
      <c r="A111" s="6" t="s">
        <v>40</v>
      </c>
      <c r="B111" s="7" t="n">
        <v>44621</v>
      </c>
      <c r="C111" s="6" t="n">
        <v>50031</v>
      </c>
      <c r="D111" s="6" t="n">
        <f aca="false">C111-C110</f>
        <v>608</v>
      </c>
      <c r="E111" s="6" t="s">
        <v>47</v>
      </c>
    </row>
    <row r="112" customFormat="false" ht="10.5" hidden="false" customHeight="false" outlineLevel="0" collapsed="false">
      <c r="A112" s="6" t="s">
        <v>43</v>
      </c>
      <c r="B112" s="7" t="n">
        <v>44622</v>
      </c>
      <c r="C112" s="6" t="n">
        <v>50350</v>
      </c>
      <c r="D112" s="6" t="n">
        <f aca="false">C112-C111</f>
        <v>319</v>
      </c>
      <c r="E112" s="6" t="s">
        <v>47</v>
      </c>
    </row>
    <row r="113" customFormat="false" ht="10.5" hidden="false" customHeight="false" outlineLevel="0" collapsed="false">
      <c r="A113" s="6" t="s">
        <v>44</v>
      </c>
      <c r="B113" s="7" t="n">
        <v>44623</v>
      </c>
      <c r="C113" s="6" t="n">
        <v>50970</v>
      </c>
      <c r="D113" s="6" t="n">
        <f aca="false">C113-C112</f>
        <v>620</v>
      </c>
      <c r="E113" s="6" t="s">
        <v>47</v>
      </c>
    </row>
    <row r="114" customFormat="false" ht="10.5" hidden="false" customHeight="false" outlineLevel="0" collapsed="false">
      <c r="A114" s="6" t="s">
        <v>45</v>
      </c>
      <c r="B114" s="7" t="n">
        <v>44624</v>
      </c>
      <c r="C114" s="6" t="n">
        <v>51463</v>
      </c>
      <c r="D114" s="6" t="n">
        <f aca="false">C114-C113</f>
        <v>493</v>
      </c>
      <c r="E114" s="6" t="s">
        <v>47</v>
      </c>
    </row>
    <row r="115" customFormat="false" ht="10.5" hidden="false" customHeight="false" outlineLevel="0" collapsed="false">
      <c r="A115" s="6" t="s">
        <v>46</v>
      </c>
      <c r="B115" s="7" t="n">
        <v>44627</v>
      </c>
      <c r="C115" s="6" t="n">
        <v>51996</v>
      </c>
      <c r="D115" s="6" t="n">
        <f aca="false">C115-C114</f>
        <v>533</v>
      </c>
      <c r="E115" s="6" t="s">
        <v>47</v>
      </c>
    </row>
    <row r="116" customFormat="false" ht="10.5" hidden="false" customHeight="false" outlineLevel="0" collapsed="false">
      <c r="A116" s="6" t="s">
        <v>40</v>
      </c>
      <c r="B116" s="7" t="n">
        <v>44628</v>
      </c>
      <c r="C116" s="6" t="n">
        <v>52172</v>
      </c>
      <c r="D116" s="6" t="n">
        <f aca="false">C116-C115</f>
        <v>176</v>
      </c>
      <c r="E116" s="6" t="s">
        <v>47</v>
      </c>
    </row>
    <row r="117" customFormat="false" ht="10.5" hidden="false" customHeight="false" outlineLevel="0" collapsed="false">
      <c r="A117" s="6" t="s">
        <v>43</v>
      </c>
      <c r="B117" s="7" t="n">
        <v>44629</v>
      </c>
      <c r="C117" s="6" t="n">
        <v>52556</v>
      </c>
      <c r="D117" s="6" t="n">
        <f aca="false">C117-C116</f>
        <v>384</v>
      </c>
      <c r="E117" s="6" t="s">
        <v>47</v>
      </c>
    </row>
    <row r="118" customFormat="false" ht="10.5" hidden="false" customHeight="false" outlineLevel="0" collapsed="false">
      <c r="A118" s="6" t="s">
        <v>44</v>
      </c>
      <c r="B118" s="7" t="n">
        <v>44630</v>
      </c>
      <c r="C118" s="6" t="n">
        <v>52947</v>
      </c>
      <c r="D118" s="6" t="n">
        <f aca="false">C118-C117</f>
        <v>391</v>
      </c>
      <c r="E118" s="6" t="s">
        <v>47</v>
      </c>
    </row>
    <row r="119" customFormat="false" ht="10.5" hidden="false" customHeight="false" outlineLevel="0" collapsed="false">
      <c r="A119" s="6" t="s">
        <v>46</v>
      </c>
      <c r="B119" s="7" t="n">
        <v>44634</v>
      </c>
      <c r="C119" s="6" t="n">
        <v>53247</v>
      </c>
      <c r="D119" s="6" t="n">
        <f aca="false">C119-C118</f>
        <v>300</v>
      </c>
      <c r="E119" s="6" t="s">
        <v>47</v>
      </c>
    </row>
    <row r="120" customFormat="false" ht="10.5" hidden="false" customHeight="false" outlineLevel="0" collapsed="false">
      <c r="A120" s="6" t="s">
        <v>40</v>
      </c>
      <c r="B120" s="7" t="n">
        <v>44635</v>
      </c>
      <c r="C120" s="6" t="n">
        <v>53913</v>
      </c>
      <c r="D120" s="6" t="n">
        <f aca="false">C120-C119</f>
        <v>666</v>
      </c>
      <c r="E120" s="6" t="s">
        <v>47</v>
      </c>
    </row>
    <row r="121" customFormat="false" ht="10.5" hidden="false" customHeight="false" outlineLevel="0" collapsed="false">
      <c r="A121" s="6" t="s">
        <v>43</v>
      </c>
      <c r="B121" s="7" t="n">
        <v>44636</v>
      </c>
      <c r="C121" s="6" t="n">
        <v>54432</v>
      </c>
      <c r="D121" s="6" t="n">
        <f aca="false">C121-C120</f>
        <v>519</v>
      </c>
      <c r="E121" s="6" t="s">
        <v>47</v>
      </c>
    </row>
    <row r="122" customFormat="false" ht="10.5" hidden="false" customHeight="false" outlineLevel="0" collapsed="false">
      <c r="A122" s="6" t="s">
        <v>44</v>
      </c>
      <c r="B122" s="7" t="n">
        <v>44637</v>
      </c>
      <c r="C122" s="6" t="n">
        <v>54901</v>
      </c>
      <c r="D122" s="6" t="n">
        <f aca="false">C122-C121</f>
        <v>469</v>
      </c>
      <c r="E122" s="6" t="s">
        <v>47</v>
      </c>
    </row>
    <row r="123" customFormat="false" ht="10.5" hidden="false" customHeight="false" outlineLevel="0" collapsed="false">
      <c r="A123" s="6" t="s">
        <v>45</v>
      </c>
      <c r="B123" s="7" t="n">
        <v>44638</v>
      </c>
      <c r="C123" s="6" t="n">
        <v>55163</v>
      </c>
      <c r="D123" s="6" t="n">
        <f aca="false">C123-C122</f>
        <v>262</v>
      </c>
      <c r="E123" s="6" t="s">
        <v>47</v>
      </c>
    </row>
    <row r="124" customFormat="false" ht="10.5" hidden="false" customHeight="false" outlineLevel="0" collapsed="false">
      <c r="A124" s="6" t="s">
        <v>46</v>
      </c>
      <c r="B124" s="7" t="n">
        <v>44641</v>
      </c>
      <c r="C124" s="6" t="n">
        <v>55815</v>
      </c>
      <c r="D124" s="6" t="n">
        <f aca="false">C124-C123</f>
        <v>652</v>
      </c>
      <c r="E124" s="6" t="s">
        <v>47</v>
      </c>
    </row>
    <row r="125" customFormat="false" ht="10.5" hidden="false" customHeight="false" outlineLevel="0" collapsed="false">
      <c r="A125" s="6" t="s">
        <v>40</v>
      </c>
      <c r="B125" s="7" t="n">
        <v>44642</v>
      </c>
      <c r="C125" s="6" t="n">
        <v>56587</v>
      </c>
      <c r="D125" s="6" t="n">
        <f aca="false">C125-C124</f>
        <v>772</v>
      </c>
      <c r="E125" s="6" t="s">
        <v>47</v>
      </c>
    </row>
    <row r="126" customFormat="false" ht="10.5" hidden="false" customHeight="false" outlineLevel="0" collapsed="false">
      <c r="A126" s="6" t="s">
        <v>43</v>
      </c>
      <c r="B126" s="7" t="n">
        <v>44643</v>
      </c>
      <c r="C126" s="6" t="n">
        <v>57089</v>
      </c>
      <c r="D126" s="6" t="n">
        <f aca="false">C126-C125</f>
        <v>502</v>
      </c>
      <c r="E126" s="6" t="s">
        <v>47</v>
      </c>
    </row>
    <row r="127" customFormat="false" ht="10.5" hidden="false" customHeight="false" outlineLevel="0" collapsed="false">
      <c r="A127" s="6" t="s">
        <v>44</v>
      </c>
      <c r="B127" s="7" t="n">
        <v>44644</v>
      </c>
      <c r="C127" s="6" t="n">
        <v>57715</v>
      </c>
      <c r="D127" s="6" t="n">
        <f aca="false">C127-C126</f>
        <v>626</v>
      </c>
      <c r="E127" s="6" t="s">
        <v>47</v>
      </c>
    </row>
    <row r="128" customFormat="false" ht="10.5" hidden="false" customHeight="false" outlineLevel="0" collapsed="false">
      <c r="A128" s="6" t="s">
        <v>45</v>
      </c>
      <c r="B128" s="7" t="n">
        <v>44645</v>
      </c>
      <c r="C128" s="6" t="n">
        <v>58037</v>
      </c>
      <c r="D128" s="6" t="n">
        <f aca="false">C128-C127</f>
        <v>322</v>
      </c>
      <c r="E128" s="6" t="s">
        <v>47</v>
      </c>
    </row>
    <row r="129" customFormat="false" ht="10.5" hidden="false" customHeight="false" outlineLevel="0" collapsed="false">
      <c r="A129" s="6" t="s">
        <v>46</v>
      </c>
      <c r="B129" s="7" t="n">
        <v>44648</v>
      </c>
      <c r="C129" s="6" t="n">
        <v>58324</v>
      </c>
      <c r="D129" s="6" t="n">
        <f aca="false">C129-C128</f>
        <v>287</v>
      </c>
      <c r="E129" s="6" t="s">
        <v>47</v>
      </c>
    </row>
    <row r="130" customFormat="false" ht="10.5" hidden="false" customHeight="false" outlineLevel="0" collapsed="false">
      <c r="A130" s="6" t="s">
        <v>40</v>
      </c>
      <c r="B130" s="7" t="n">
        <v>44649</v>
      </c>
      <c r="C130" s="6" t="n">
        <v>58679</v>
      </c>
      <c r="D130" s="6" t="n">
        <f aca="false">C130-C129</f>
        <v>355</v>
      </c>
      <c r="E130" s="6" t="s">
        <v>47</v>
      </c>
    </row>
    <row r="131" customFormat="false" ht="10.5" hidden="false" customHeight="false" outlineLevel="0" collapsed="false">
      <c r="A131" s="6" t="s">
        <v>43</v>
      </c>
      <c r="B131" s="7" t="n">
        <v>44650</v>
      </c>
      <c r="C131" s="6" t="n">
        <v>58679</v>
      </c>
      <c r="D131" s="6" t="n">
        <f aca="false">C131-C130</f>
        <v>0</v>
      </c>
      <c r="E131" s="6" t="s">
        <v>47</v>
      </c>
    </row>
    <row r="132" customFormat="false" ht="10.5" hidden="false" customHeight="false" outlineLevel="0" collapsed="false">
      <c r="A132" s="6" t="s">
        <v>44</v>
      </c>
      <c r="B132" s="7" t="n">
        <v>44651</v>
      </c>
      <c r="C132" s="6" t="n">
        <v>59400</v>
      </c>
      <c r="D132" s="6" t="n">
        <f aca="false">C132-C131</f>
        <v>721</v>
      </c>
      <c r="E132" s="6" t="s">
        <v>47</v>
      </c>
    </row>
    <row r="133" customFormat="false" ht="10.5" hidden="false" customHeight="false" outlineLevel="0" collapsed="false">
      <c r="A133" s="6" t="s">
        <v>45</v>
      </c>
      <c r="B133" s="7" t="n">
        <v>44652</v>
      </c>
      <c r="C133" s="6" t="n">
        <v>59772</v>
      </c>
      <c r="D133" s="6" t="n">
        <f aca="false">C133-C132</f>
        <v>372</v>
      </c>
      <c r="E133" s="6" t="s">
        <v>47</v>
      </c>
    </row>
    <row r="134" customFormat="false" ht="10.5" hidden="false" customHeight="false" outlineLevel="0" collapsed="false">
      <c r="A134" s="6" t="s">
        <v>46</v>
      </c>
      <c r="B134" s="7" t="n">
        <v>44655</v>
      </c>
      <c r="C134" s="6" t="n">
        <v>59830</v>
      </c>
      <c r="D134" s="6" t="n">
        <f aca="false">C134-C133</f>
        <v>58</v>
      </c>
      <c r="E134" s="6" t="s">
        <v>47</v>
      </c>
    </row>
    <row r="135" customFormat="false" ht="10.5" hidden="false" customHeight="false" outlineLevel="0" collapsed="false">
      <c r="A135" s="6" t="s">
        <v>40</v>
      </c>
      <c r="B135" s="7" t="n">
        <v>44656</v>
      </c>
      <c r="C135" s="6" t="n">
        <v>60415</v>
      </c>
      <c r="D135" s="6" t="n">
        <f aca="false">C135-C134</f>
        <v>585</v>
      </c>
      <c r="E135" s="6" t="s">
        <v>47</v>
      </c>
    </row>
    <row r="136" customFormat="false" ht="10.5" hidden="false" customHeight="false" outlineLevel="0" collapsed="false">
      <c r="A136" s="6" t="s">
        <v>43</v>
      </c>
      <c r="B136" s="7" t="n">
        <v>44657</v>
      </c>
      <c r="C136" s="6" t="n">
        <v>60974</v>
      </c>
      <c r="D136" s="6" t="n">
        <f aca="false">C136-C135</f>
        <v>559</v>
      </c>
      <c r="E136" s="6" t="s">
        <v>47</v>
      </c>
    </row>
    <row r="137" customFormat="false" ht="10.5" hidden="false" customHeight="false" outlineLevel="0" collapsed="false">
      <c r="A137" s="6" t="s">
        <v>44</v>
      </c>
      <c r="B137" s="7" t="n">
        <v>44658</v>
      </c>
      <c r="C137" s="6" t="n">
        <v>61348</v>
      </c>
      <c r="D137" s="6" t="n">
        <f aca="false">C137-C136</f>
        <v>374</v>
      </c>
      <c r="E137" s="6" t="s">
        <v>47</v>
      </c>
    </row>
    <row r="138" customFormat="false" ht="10.5" hidden="false" customHeight="false" outlineLevel="0" collapsed="false">
      <c r="A138" s="6" t="s">
        <v>45</v>
      </c>
      <c r="B138" s="7" t="n">
        <v>44659</v>
      </c>
      <c r="C138" s="6" t="n">
        <v>61913</v>
      </c>
      <c r="D138" s="6" t="n">
        <f aca="false">C138-C137</f>
        <v>565</v>
      </c>
      <c r="E138" s="6" t="s">
        <v>47</v>
      </c>
      <c r="G138" s="10" t="s">
        <v>60</v>
      </c>
      <c r="H138" s="10" t="s">
        <v>61</v>
      </c>
      <c r="I138" s="10" t="s">
        <v>62</v>
      </c>
      <c r="J138" s="10" t="s">
        <v>63</v>
      </c>
      <c r="K138" s="10" t="s">
        <v>64</v>
      </c>
      <c r="L138" s="10" t="s">
        <v>65</v>
      </c>
      <c r="M138" s="10" t="s">
        <v>66</v>
      </c>
    </row>
    <row r="139" customFormat="false" ht="12.65" hidden="false" customHeight="false" outlineLevel="0" collapsed="false">
      <c r="A139" s="6" t="s">
        <v>46</v>
      </c>
      <c r="B139" s="7" t="n">
        <v>44662</v>
      </c>
      <c r="C139" s="6" t="n">
        <v>62518</v>
      </c>
      <c r="D139" s="6" t="n">
        <f aca="false">C139-C138</f>
        <v>605</v>
      </c>
      <c r="E139" s="6" t="s">
        <v>47</v>
      </c>
      <c r="G139" s="11" t="s">
        <v>67</v>
      </c>
      <c r="H139" s="10" t="n">
        <f aca="false">C2</f>
        <v>682</v>
      </c>
      <c r="I139" s="10" t="n">
        <f aca="false">H139</f>
        <v>682</v>
      </c>
      <c r="J139" s="10" t="n">
        <f aca="false">I139</f>
        <v>682</v>
      </c>
      <c r="K139" s="10" t="n">
        <v>116</v>
      </c>
      <c r="L139" s="10" t="n">
        <f aca="false">K139/I139</f>
        <v>0.170087976539589</v>
      </c>
      <c r="M139" s="10" t="n">
        <f aca="false">L139*1000</f>
        <v>170.087976539589</v>
      </c>
    </row>
    <row r="140" customFormat="false" ht="12.65" hidden="false" customHeight="false" outlineLevel="0" collapsed="false">
      <c r="A140" s="6" t="s">
        <v>46</v>
      </c>
      <c r="B140" s="7" t="n">
        <v>44669</v>
      </c>
      <c r="C140" s="6" t="n">
        <v>63093</v>
      </c>
      <c r="D140" s="6" t="n">
        <f aca="false">C140-C139</f>
        <v>575</v>
      </c>
      <c r="E140" s="6" t="s">
        <v>47</v>
      </c>
      <c r="G140" s="11" t="s">
        <v>68</v>
      </c>
      <c r="H140" s="10" t="n">
        <f aca="false">AVERAGE(D3:D16)</f>
        <v>387.214285714286</v>
      </c>
      <c r="I140" s="10" t="n">
        <f aca="false">SUM(D3:D17)</f>
        <v>5421</v>
      </c>
      <c r="J140" s="10" t="n">
        <f aca="false">C17</f>
        <v>6103</v>
      </c>
      <c r="K140" s="10" t="n">
        <v>151</v>
      </c>
      <c r="L140" s="10" t="n">
        <f aca="false">K140/I140</f>
        <v>0.0278546393654307</v>
      </c>
      <c r="M140" s="10" t="n">
        <f aca="false">L140*1000</f>
        <v>27.8546393654307</v>
      </c>
    </row>
    <row r="141" customFormat="false" ht="12.65" hidden="false" customHeight="false" outlineLevel="0" collapsed="false">
      <c r="A141" s="6" t="s">
        <v>40</v>
      </c>
      <c r="B141" s="7" t="n">
        <v>44670</v>
      </c>
      <c r="C141" s="6" t="n">
        <v>63738</v>
      </c>
      <c r="D141" s="6" t="n">
        <f aca="false">C141-C140</f>
        <v>645</v>
      </c>
      <c r="E141" s="6" t="s">
        <v>47</v>
      </c>
      <c r="G141" s="10" t="s">
        <v>69</v>
      </c>
      <c r="H141" s="10" t="n">
        <f aca="false">AVERAGE(D18:D38)</f>
        <v>330.619047619048</v>
      </c>
      <c r="I141" s="10" t="n">
        <f aca="false">SUM(D18:D38)</f>
        <v>6943</v>
      </c>
      <c r="J141" s="10" t="n">
        <f aca="false">C38</f>
        <v>13046</v>
      </c>
      <c r="K141" s="10" t="n">
        <f aca="false">269+266</f>
        <v>535</v>
      </c>
      <c r="L141" s="10" t="n">
        <f aca="false">K141/I141</f>
        <v>0.077056027653752</v>
      </c>
      <c r="M141" s="10" t="n">
        <f aca="false">L141*1000</f>
        <v>77.056027653752</v>
      </c>
    </row>
    <row r="142" customFormat="false" ht="12.65" hidden="false" customHeight="false" outlineLevel="0" collapsed="false">
      <c r="A142" s="6" t="s">
        <v>43</v>
      </c>
      <c r="B142" s="7" t="n">
        <v>44671</v>
      </c>
      <c r="C142" s="6" t="n">
        <v>64008</v>
      </c>
      <c r="D142" s="6" t="n">
        <f aca="false">C142-C141</f>
        <v>270</v>
      </c>
      <c r="E142" s="6" t="s">
        <v>47</v>
      </c>
      <c r="G142" s="10" t="s">
        <v>70</v>
      </c>
      <c r="H142" s="10" t="n">
        <f aca="false">AVERAGE(D39:D40,D42:D47,D50:D58)</f>
        <v>474.823529411765</v>
      </c>
      <c r="I142" s="10" t="n">
        <f aca="false">SUM(D39:D58)</f>
        <v>8072</v>
      </c>
      <c r="J142" s="10" t="n">
        <f aca="false">C58</f>
        <v>21118</v>
      </c>
      <c r="K142" s="10" t="n">
        <v>813</v>
      </c>
      <c r="L142" s="10" t="n">
        <f aca="false">K142/I142</f>
        <v>0.100718533201189</v>
      </c>
      <c r="M142" s="10" t="n">
        <f aca="false">L142*1000</f>
        <v>100.718533201189</v>
      </c>
    </row>
    <row r="143" customFormat="false" ht="12.65" hidden="false" customHeight="false" outlineLevel="0" collapsed="false">
      <c r="A143" s="6" t="s">
        <v>44</v>
      </c>
      <c r="B143" s="7" t="n">
        <v>44672</v>
      </c>
      <c r="C143" s="6" t="n">
        <v>64437</v>
      </c>
      <c r="D143" s="6" t="n">
        <f aca="false">C143-C142</f>
        <v>429</v>
      </c>
      <c r="E143" s="6" t="s">
        <v>47</v>
      </c>
      <c r="G143" s="10" t="s">
        <v>71</v>
      </c>
      <c r="H143" s="10" t="n">
        <f aca="false">AVERAGE(D59:D77)</f>
        <v>542.631578947368</v>
      </c>
      <c r="I143" s="10" t="n">
        <f aca="false">SUM(D59:D77)</f>
        <v>10310</v>
      </c>
      <c r="J143" s="10" t="n">
        <f aca="false">C77</f>
        <v>31428</v>
      </c>
      <c r="K143" s="10" t="n">
        <v>830</v>
      </c>
      <c r="L143" s="10" t="n">
        <f aca="false">K143/I143</f>
        <v>0.0805043646944714</v>
      </c>
      <c r="M143" s="10" t="n">
        <f aca="false">L143*1000</f>
        <v>80.5043646944714</v>
      </c>
    </row>
    <row r="144" customFormat="false" ht="12.65" hidden="false" customHeight="false" outlineLevel="0" collapsed="false">
      <c r="A144" s="6" t="s">
        <v>45</v>
      </c>
      <c r="B144" s="7" t="n">
        <v>44673</v>
      </c>
      <c r="C144" s="6" t="n">
        <v>64890</v>
      </c>
      <c r="D144" s="6" t="n">
        <f aca="false">C144-C143</f>
        <v>453</v>
      </c>
      <c r="E144" s="6" t="s">
        <v>47</v>
      </c>
      <c r="G144" s="10" t="s">
        <v>72</v>
      </c>
      <c r="H144" s="10" t="n">
        <f aca="false">AVERAGE(D78:D92)</f>
        <v>581.933333333333</v>
      </c>
      <c r="I144" s="10" t="n">
        <f aca="false">SUM(D78:D92)</f>
        <v>8729</v>
      </c>
      <c r="J144" s="10" t="n">
        <f aca="false">C92</f>
        <v>40157</v>
      </c>
      <c r="K144" s="10"/>
      <c r="L144" s="10"/>
      <c r="M144" s="10"/>
    </row>
    <row r="145" customFormat="false" ht="12.65" hidden="false" customHeight="false" outlineLevel="0" collapsed="false">
      <c r="A145" s="6" t="s">
        <v>46</v>
      </c>
      <c r="B145" s="7" t="n">
        <v>44676</v>
      </c>
      <c r="C145" s="6" t="n">
        <v>65733</v>
      </c>
      <c r="D145" s="6" t="n">
        <f aca="false">C145-C144</f>
        <v>843</v>
      </c>
      <c r="E145" s="6" t="s">
        <v>47</v>
      </c>
      <c r="G145" s="10" t="s">
        <v>73</v>
      </c>
      <c r="H145" s="10" t="n">
        <f aca="false">AVERAGE(D93:D110)</f>
        <v>514.777777777778</v>
      </c>
      <c r="I145" s="10" t="n">
        <f aca="false">SUM(D93:D110)</f>
        <v>9266</v>
      </c>
      <c r="J145" s="10" t="n">
        <f aca="false">C110</f>
        <v>49423</v>
      </c>
      <c r="K145" s="10"/>
      <c r="L145" s="10"/>
      <c r="M145" s="10"/>
    </row>
    <row r="146" customFormat="false" ht="12.65" hidden="false" customHeight="false" outlineLevel="0" collapsed="false">
      <c r="A146" s="6" t="s">
        <v>40</v>
      </c>
      <c r="B146" s="7" t="n">
        <v>44677</v>
      </c>
      <c r="C146" s="6" t="n">
        <v>65733</v>
      </c>
      <c r="D146" s="6" t="n">
        <f aca="false">C146-C145</f>
        <v>0</v>
      </c>
      <c r="E146" s="6" t="s">
        <v>47</v>
      </c>
      <c r="G146" s="10" t="s">
        <v>74</v>
      </c>
      <c r="H146" s="10" t="n">
        <f aca="false">AVERAGE(D111:D132)</f>
        <v>453.5</v>
      </c>
      <c r="I146" s="10" t="n">
        <f aca="false">SUM(D111:D132)</f>
        <v>9977</v>
      </c>
      <c r="J146" s="10" t="n">
        <f aca="false">C132</f>
        <v>59400</v>
      </c>
      <c r="K146" s="10"/>
      <c r="L146" s="10"/>
      <c r="M146" s="10"/>
    </row>
    <row r="147" customFormat="false" ht="12.65" hidden="false" customHeight="false" outlineLevel="0" collapsed="false">
      <c r="A147" s="6" t="s">
        <v>43</v>
      </c>
      <c r="B147" s="7" t="n">
        <v>44678</v>
      </c>
      <c r="C147" s="6" t="n">
        <v>66112</v>
      </c>
      <c r="D147" s="6" t="n">
        <f aca="false">C147-C146</f>
        <v>379</v>
      </c>
      <c r="E147" s="6" t="s">
        <v>47</v>
      </c>
      <c r="G147" s="10" t="s">
        <v>75</v>
      </c>
      <c r="H147" s="10" t="n">
        <f aca="false">AVERAGE(D133:D149)</f>
        <v>450.882352941176</v>
      </c>
      <c r="I147" s="10" t="n">
        <f aca="false">SUM(D133:D149)</f>
        <v>7665</v>
      </c>
      <c r="J147" s="10" t="n">
        <f aca="false">C149</f>
        <v>67065</v>
      </c>
      <c r="K147" s="10"/>
      <c r="L147" s="10"/>
      <c r="M147" s="10"/>
    </row>
    <row r="148" customFormat="false" ht="12.65" hidden="false" customHeight="false" outlineLevel="0" collapsed="false">
      <c r="A148" s="6" t="s">
        <v>44</v>
      </c>
      <c r="B148" s="7" t="n">
        <v>44679</v>
      </c>
      <c r="C148" s="6" t="n">
        <v>66715</v>
      </c>
      <c r="D148" s="6" t="n">
        <f aca="false">C148-C147</f>
        <v>603</v>
      </c>
      <c r="E148" s="6" t="s">
        <v>47</v>
      </c>
      <c r="G148" s="10" t="s">
        <v>76</v>
      </c>
      <c r="H148" s="10" t="n">
        <f aca="false">AVERAGE(D150:D155)</f>
        <v>544.5</v>
      </c>
      <c r="I148" s="10" t="n">
        <f aca="false">SUM(D150:D155)</f>
        <v>3267</v>
      </c>
      <c r="J148" s="10" t="n">
        <f aca="false">C155</f>
        <v>70332</v>
      </c>
      <c r="K148" s="10"/>
      <c r="L148" s="10"/>
      <c r="M148" s="10"/>
    </row>
    <row r="149" customFormat="false" ht="12.65" hidden="false" customHeight="false" outlineLevel="0" collapsed="false">
      <c r="A149" s="6" t="s">
        <v>45</v>
      </c>
      <c r="B149" s="7" t="n">
        <v>44680</v>
      </c>
      <c r="C149" s="6" t="n">
        <v>67065</v>
      </c>
      <c r="D149" s="6" t="n">
        <f aca="false">C149-C148</f>
        <v>350</v>
      </c>
      <c r="E149" s="6" t="s">
        <v>47</v>
      </c>
      <c r="G149" s="10" t="s">
        <v>77</v>
      </c>
      <c r="H149" s="10"/>
      <c r="I149" s="10"/>
      <c r="J149" s="10"/>
      <c r="K149" s="10"/>
      <c r="L149" s="10"/>
      <c r="M149" s="10"/>
    </row>
    <row r="150" customFormat="false" ht="12.65" hidden="false" customHeight="false" outlineLevel="0" collapsed="false">
      <c r="A150" s="6" t="s">
        <v>46</v>
      </c>
      <c r="B150" s="7" t="n">
        <v>44690</v>
      </c>
      <c r="C150" s="6" t="n">
        <v>67465</v>
      </c>
      <c r="D150" s="6" t="n">
        <f aca="false">C150-C149</f>
        <v>400</v>
      </c>
      <c r="E150" s="6" t="s">
        <v>47</v>
      </c>
      <c r="G150" s="10" t="s">
        <v>78</v>
      </c>
      <c r="H150" s="10"/>
      <c r="I150" s="10"/>
      <c r="J150" s="10"/>
      <c r="K150" s="10"/>
      <c r="L150" s="10"/>
      <c r="M150" s="10"/>
    </row>
    <row r="151" customFormat="false" ht="12.65" hidden="false" customHeight="false" outlineLevel="0" collapsed="false">
      <c r="A151" s="6" t="s">
        <v>40</v>
      </c>
      <c r="B151" s="7" t="n">
        <v>44691</v>
      </c>
      <c r="C151" s="6" t="n">
        <v>67763</v>
      </c>
      <c r="D151" s="6" t="n">
        <f aca="false">C151-C150</f>
        <v>298</v>
      </c>
      <c r="E151" s="6" t="s">
        <v>47</v>
      </c>
    </row>
    <row r="152" customFormat="false" ht="12.65" hidden="false" customHeight="false" outlineLevel="0" collapsed="false">
      <c r="A152" s="6" t="s">
        <v>43</v>
      </c>
      <c r="B152" s="7" t="n">
        <v>44692</v>
      </c>
      <c r="C152" s="6" t="n">
        <v>68186</v>
      </c>
      <c r="D152" s="6" t="n">
        <f aca="false">C152-C151</f>
        <v>423</v>
      </c>
      <c r="E152" s="6" t="s">
        <v>47</v>
      </c>
    </row>
    <row r="153" customFormat="false" ht="12.65" hidden="false" customHeight="false" outlineLevel="0" collapsed="false">
      <c r="A153" s="6" t="s">
        <v>44</v>
      </c>
      <c r="B153" s="7" t="n">
        <v>44693</v>
      </c>
      <c r="C153" s="6" t="n">
        <v>68678</v>
      </c>
      <c r="D153" s="6" t="n">
        <f aca="false">C153-C152</f>
        <v>492</v>
      </c>
      <c r="E153" s="6" t="s">
        <v>47</v>
      </c>
      <c r="F153" s="1" t="s">
        <v>79</v>
      </c>
    </row>
    <row r="154" customFormat="false" ht="12.65" hidden="false" customHeight="false" outlineLevel="0" collapsed="false">
      <c r="A154" s="6" t="s">
        <v>45</v>
      </c>
      <c r="B154" s="7" t="n">
        <v>44708</v>
      </c>
      <c r="C154" s="6" t="n">
        <v>69696</v>
      </c>
      <c r="D154" s="6" t="n">
        <f aca="false">C154-C153</f>
        <v>1018</v>
      </c>
      <c r="E154" s="6" t="s">
        <v>47</v>
      </c>
    </row>
    <row r="155" customFormat="false" ht="12.65" hidden="false" customHeight="false" outlineLevel="0" collapsed="false">
      <c r="A155" s="6" t="s">
        <v>40</v>
      </c>
      <c r="B155" s="7" t="n">
        <v>44712</v>
      </c>
      <c r="C155" s="6" t="n">
        <v>70332</v>
      </c>
      <c r="D155" s="6" t="n">
        <f aca="false">C155-C154</f>
        <v>636</v>
      </c>
      <c r="E155" s="6" t="s">
        <v>47</v>
      </c>
    </row>
    <row r="156" customFormat="false" ht="12.65" hidden="false" customHeight="false" outlineLevel="0" collapsed="false">
      <c r="A156" s="6" t="s">
        <v>44</v>
      </c>
      <c r="B156" s="7" t="n">
        <v>44714</v>
      </c>
      <c r="C156" s="6" t="n">
        <v>70960</v>
      </c>
      <c r="D156" s="6" t="n">
        <f aca="false">C156-C155</f>
        <v>628</v>
      </c>
      <c r="E156" s="6" t="s">
        <v>47</v>
      </c>
    </row>
    <row r="157" customFormat="false" ht="12.65" hidden="false" customHeight="false" outlineLevel="0" collapsed="false">
      <c r="A157" s="6" t="s">
        <v>45</v>
      </c>
      <c r="B157" s="7" t="n">
        <v>44715</v>
      </c>
      <c r="C157" s="6" t="n">
        <v>71647</v>
      </c>
      <c r="D157" s="6" t="n">
        <f aca="false">C157-C156</f>
        <v>687</v>
      </c>
      <c r="E157" s="6" t="s">
        <v>47</v>
      </c>
    </row>
    <row r="158" customFormat="false" ht="12.65" hidden="false" customHeight="false" outlineLevel="0" collapsed="false">
      <c r="A158" s="6" t="s">
        <v>46</v>
      </c>
      <c r="B158" s="7" t="n">
        <v>44718</v>
      </c>
      <c r="C158" s="6" t="n">
        <v>72043</v>
      </c>
      <c r="D158" s="6" t="n">
        <f aca="false">C158-C157</f>
        <v>396</v>
      </c>
      <c r="E158" s="6" t="s">
        <v>47</v>
      </c>
    </row>
    <row r="159" customFormat="false" ht="12.65" hidden="false" customHeight="false" outlineLevel="0" collapsed="false">
      <c r="A159" s="6" t="s">
        <v>40</v>
      </c>
      <c r="B159" s="7" t="n">
        <v>44719</v>
      </c>
      <c r="C159" s="6" t="n">
        <v>72529</v>
      </c>
      <c r="D159" s="6" t="n">
        <f aca="false">C159-C158</f>
        <v>486</v>
      </c>
      <c r="E159" s="6" t="s">
        <v>47</v>
      </c>
    </row>
    <row r="160" customFormat="false" ht="12.65" hidden="false" customHeight="false" outlineLevel="0" collapsed="false">
      <c r="A160" s="6" t="s">
        <v>43</v>
      </c>
      <c r="B160" s="7" t="n">
        <v>44720</v>
      </c>
      <c r="C160" s="6" t="n">
        <v>73002</v>
      </c>
      <c r="D160" s="6" t="n">
        <f aca="false">C160-C159</f>
        <v>473</v>
      </c>
      <c r="E160" s="6" t="s">
        <v>47</v>
      </c>
    </row>
    <row r="161" customFormat="false" ht="12.65" hidden="false" customHeight="false" outlineLevel="0" collapsed="false">
      <c r="A161" s="6" t="s">
        <v>44</v>
      </c>
      <c r="B161" s="7" t="n">
        <v>44721</v>
      </c>
      <c r="C161" s="6" t="n">
        <v>73309</v>
      </c>
      <c r="D161" s="6" t="n">
        <f aca="false">C161-C160</f>
        <v>307</v>
      </c>
      <c r="E161" s="6" t="s">
        <v>47</v>
      </c>
    </row>
    <row r="162" customFormat="false" ht="12.65" hidden="false" customHeight="false" outlineLevel="0" collapsed="false">
      <c r="A162" s="6" t="s">
        <v>45</v>
      </c>
      <c r="B162" s="7" t="n">
        <v>44722</v>
      </c>
      <c r="C162" s="6" t="n">
        <v>73760</v>
      </c>
      <c r="D162" s="6" t="n">
        <f aca="false">C162-C161</f>
        <v>451</v>
      </c>
      <c r="E162" s="6" t="s">
        <v>47</v>
      </c>
    </row>
    <row r="163" customFormat="false" ht="12.65" hidden="false" customHeight="false" outlineLevel="0" collapsed="false">
      <c r="A163" s="6" t="s">
        <v>45</v>
      </c>
      <c r="B163" s="7" t="n">
        <v>44729</v>
      </c>
      <c r="C163" s="6" t="n">
        <v>74464</v>
      </c>
      <c r="D163" s="6" t="n">
        <f aca="false">C163-C162</f>
        <v>704</v>
      </c>
      <c r="E163" s="6" t="s">
        <v>47</v>
      </c>
    </row>
    <row r="164" customFormat="false" ht="12.65" hidden="false" customHeight="false" outlineLevel="0" collapsed="false">
      <c r="A164" s="6" t="s">
        <v>44</v>
      </c>
      <c r="B164" s="7" t="n">
        <v>44735</v>
      </c>
      <c r="C164" s="6" t="n">
        <v>75050</v>
      </c>
      <c r="D164" s="6" t="n">
        <f aca="false">C164-C163</f>
        <v>586</v>
      </c>
      <c r="E164" s="6" t="s">
        <v>47</v>
      </c>
    </row>
    <row r="165" customFormat="false" ht="12.65" hidden="false" customHeight="false" outlineLevel="0" collapsed="false">
      <c r="A165" s="6" t="s">
        <v>45</v>
      </c>
      <c r="B165" s="7" t="n">
        <v>44736</v>
      </c>
      <c r="C165" s="6" t="n">
        <v>75578</v>
      </c>
      <c r="D165" s="6" t="n">
        <f aca="false">C165-C164</f>
        <v>528</v>
      </c>
      <c r="E165" s="6" t="s">
        <v>47</v>
      </c>
    </row>
    <row r="166" customFormat="false" ht="12.65" hidden="false" customHeight="false" outlineLevel="0" collapsed="false">
      <c r="A166" s="6" t="s">
        <v>40</v>
      </c>
      <c r="B166" s="7" t="n">
        <v>44740</v>
      </c>
      <c r="C166" s="6" t="n">
        <v>75859</v>
      </c>
      <c r="D166" s="6" t="n">
        <f aca="false">C166-C165</f>
        <v>281</v>
      </c>
      <c r="E166" s="6" t="s">
        <v>47</v>
      </c>
    </row>
    <row r="167" customFormat="false" ht="12.65" hidden="false" customHeight="false" outlineLevel="0" collapsed="false">
      <c r="A167" s="6" t="s">
        <v>46</v>
      </c>
      <c r="B167" s="7" t="n">
        <v>44746</v>
      </c>
      <c r="C167" s="6" t="n">
        <v>76196</v>
      </c>
      <c r="D167" s="6" t="n">
        <f aca="false">C167-C166</f>
        <v>337</v>
      </c>
      <c r="E167" s="6" t="s">
        <v>47</v>
      </c>
    </row>
    <row r="168" customFormat="false" ht="12.65" hidden="false" customHeight="false" outlineLevel="0" collapsed="false">
      <c r="A168" s="6" t="s">
        <v>40</v>
      </c>
      <c r="B168" s="7" t="n">
        <v>44747</v>
      </c>
      <c r="C168" s="6" t="n">
        <v>76386</v>
      </c>
      <c r="D168" s="6" t="n">
        <f aca="false">C168-C167</f>
        <v>190</v>
      </c>
      <c r="E168" s="6" t="s">
        <v>47</v>
      </c>
    </row>
    <row r="169" customFormat="false" ht="12.65" hidden="false" customHeight="false" outlineLevel="0" collapsed="false">
      <c r="A169" s="6" t="s">
        <v>45</v>
      </c>
      <c r="B169" s="7" t="n">
        <v>44967</v>
      </c>
      <c r="C169" s="6" t="n">
        <v>77067</v>
      </c>
      <c r="D169" s="6" t="n">
        <f aca="false">C169-C168</f>
        <v>681</v>
      </c>
      <c r="E169" s="6" t="s">
        <v>47</v>
      </c>
    </row>
    <row r="170" customFormat="false" ht="12.65" hidden="false" customHeight="false" outlineLevel="0" collapsed="false">
      <c r="A170" s="6" t="s">
        <v>46</v>
      </c>
      <c r="B170" s="7" t="n">
        <v>44977</v>
      </c>
      <c r="C170" s="6" t="n">
        <v>77836</v>
      </c>
      <c r="D170" s="6" t="n">
        <f aca="false">C170-C169</f>
        <v>769</v>
      </c>
      <c r="E170" s="6" t="s">
        <v>47</v>
      </c>
    </row>
    <row r="171" customFormat="false" ht="12.65" hidden="false" customHeight="false" outlineLevel="0" collapsed="false">
      <c r="A171" s="6" t="s">
        <v>40</v>
      </c>
      <c r="B171" s="7" t="n">
        <v>44978</v>
      </c>
      <c r="C171" s="6" t="n">
        <v>78721</v>
      </c>
      <c r="D171" s="6" t="n">
        <f aca="false">C171-C170</f>
        <v>885</v>
      </c>
      <c r="E171" s="6" t="s">
        <v>47</v>
      </c>
    </row>
    <row r="172" customFormat="false" ht="12.65" hidden="false" customHeight="false" outlineLevel="0" collapsed="false">
      <c r="A172" s="6" t="s">
        <v>43</v>
      </c>
      <c r="B172" s="7" t="n">
        <v>44979</v>
      </c>
      <c r="C172" s="6" t="n">
        <v>79420</v>
      </c>
      <c r="D172" s="6" t="n">
        <f aca="false">C172-C171</f>
        <v>699</v>
      </c>
      <c r="E172" s="6" t="s">
        <v>47</v>
      </c>
    </row>
    <row r="173" customFormat="false" ht="12.65" hidden="false" customHeight="false" outlineLevel="0" collapsed="false">
      <c r="A173" s="6" t="s">
        <v>45</v>
      </c>
      <c r="B173" s="7" t="n">
        <v>44981</v>
      </c>
      <c r="C173" s="6" t="n">
        <v>80251</v>
      </c>
      <c r="D173" s="6" t="n">
        <f aca="false">C173-C172</f>
        <v>831</v>
      </c>
      <c r="E173" s="6" t="s">
        <v>47</v>
      </c>
    </row>
    <row r="174" customFormat="false" ht="12.65" hidden="false" customHeight="false" outlineLevel="0" collapsed="false">
      <c r="A174" s="6" t="s">
        <v>46</v>
      </c>
      <c r="B174" s="7" t="n">
        <v>44984</v>
      </c>
      <c r="C174" s="6" t="n">
        <v>80979</v>
      </c>
      <c r="D174" s="6" t="n">
        <f aca="false">C174-C173</f>
        <v>728</v>
      </c>
      <c r="E174" s="6" t="s">
        <v>47</v>
      </c>
    </row>
    <row r="175" customFormat="false" ht="12.65" hidden="false" customHeight="false" outlineLevel="0" collapsed="false">
      <c r="A175" s="6" t="s">
        <v>46</v>
      </c>
      <c r="B175" s="7" t="n">
        <v>45040</v>
      </c>
      <c r="C175" s="6" t="n">
        <v>84208</v>
      </c>
      <c r="D175" s="6" t="n">
        <f aca="false">C175-C174</f>
        <v>3229</v>
      </c>
      <c r="E175" s="6" t="s">
        <v>47</v>
      </c>
    </row>
  </sheetData>
  <conditionalFormatting sqref="A1 A139:A1048576">
    <cfRule type="containsText" priority="2" operator="containsText" aboveAverage="0" equalAverage="0" bottom="0" percent="0" rank="0" text="Wednesday" dxfId="4">
      <formula>NOT(ISERROR(SEARCH("Wednesday",A1)))</formula>
    </cfRule>
    <cfRule type="containsText" priority="3" operator="containsText" aboveAverage="0" equalAverage="0" bottom="0" percent="0" rank="0" text="Tuesday" dxfId="5">
      <formula>NOT(ISERROR(SEARCH("Tuesday",A1)))</formula>
    </cfRule>
    <cfRule type="containsText" priority="4" operator="containsText" aboveAverage="0" equalAverage="0" bottom="0" percent="0" rank="0" text="Monday" dxfId="6">
      <formula>NOT(ISERROR(SEARCH("Monday",A1)))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7871ae-e641-415c-930f-6f6f272023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5B38E059CE1141B92B792655F983DD" ma:contentTypeVersion="15" ma:contentTypeDescription="Create a new document." ma:contentTypeScope="" ma:versionID="a4f26e3943a2b738c4c1880efef3cbda">
  <xsd:schema xmlns:xsd="http://www.w3.org/2001/XMLSchema" xmlns:xs="http://www.w3.org/2001/XMLSchema" xmlns:p="http://schemas.microsoft.com/office/2006/metadata/properties" xmlns:ns3="27cf54b0-1c47-4def-934a-b774082b08c9" xmlns:ns4="b97871ae-e641-415c-930f-6f6f27202348" targetNamespace="http://schemas.microsoft.com/office/2006/metadata/properties" ma:root="true" ma:fieldsID="a6d4162f18de4d66f2706f493c930631" ns3:_="" ns4:_="">
    <xsd:import namespace="27cf54b0-1c47-4def-934a-b774082b08c9"/>
    <xsd:import namespace="b97871ae-e641-415c-930f-6f6f272023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ServiceObjectDetectorVersions" minOccurs="0"/>
                <xsd:element ref="ns4:MediaServiceLocation" minOccurs="0"/>
                <xsd:element ref="ns4:MediaLengthInSecond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f54b0-1c47-4def-934a-b774082b08c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871ae-e641-415c-930f-6f6f27202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24CB09-BCCF-433F-A04E-6533EFDD81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87AD0F-68E7-4FCA-A2E4-E318F21CCE02}">
  <ds:schemaRefs>
    <ds:schemaRef ds:uri="27cf54b0-1c47-4def-934a-b774082b08c9"/>
    <ds:schemaRef ds:uri="http://schemas.microsoft.com/office/2006/metadata/properties"/>
    <ds:schemaRef ds:uri="b97871ae-e641-415c-930f-6f6f27202348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20A9A82-AAB6-4270-A31C-62596CA69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cf54b0-1c47-4def-934a-b774082b08c9"/>
    <ds:schemaRef ds:uri="b97871ae-e641-415c-930f-6f6f272023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2021-08-16T07:07:43Z</dcterms:created>
  <dc:creator>Wei Ling Jeslynn Teo</dc:creator>
  <dc:description/>
  <dc:language>en-US</dc:language>
  <cp:lastModifiedBy/>
  <dcterms:modified xsi:type="dcterms:W3CDTF">2026-09-03T15:54:27Z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0x010100EC5B38E059CE1141B92B792655F983DD</vt:lpwstr>
  </property>
</Properties>
</file>