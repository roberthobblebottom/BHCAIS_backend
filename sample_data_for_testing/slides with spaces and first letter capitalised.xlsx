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DP Catalog" sheetId="1" state="visible" r:id="rId3"/>
    <sheet name="Timeline" sheetId="2" state="hidden" r:id="rId4"/>
  </sheets>
  <definedNames>
    <definedName function="false" hidden="true" localSheetId="0" name="_xlnm._FilterDatabase" vbProcedure="false">'SDP Catalog'!$A$1:$AG$101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<sst xmlns="http://schemas.openxmlformats.org/spreadsheetml/2006/main" count="2022" uniqueCount="206">
  <si>
    <t xml:space="preserve">Sn</t>
  </si>
  <si>
    <t xml:space="preserve">Uid</t>
  </si>
  <si>
    <t xml:space="preserve">Box No</t>
  </si>
  <si>
    <t xml:space="preserve">Object Condition Qc1</t>
  </si>
  <si>
    <t xml:space="preserve">box_information_old</t>
  </si>
  <si>
    <t xml:space="preserve">box_information_new</t>
  </si>
  <si>
    <t xml:space="preserve">divider_1</t>
  </si>
  <si>
    <t xml:space="preserve">divider_2</t>
  </si>
  <si>
    <t xml:space="preserve">divider_3</t>
  </si>
  <si>
    <t xml:space="preserve">slides_information</t>
  </si>
  <si>
    <t xml:space="preserve">main_category</t>
  </si>
  <si>
    <t xml:space="preserve">collector_name</t>
  </si>
  <si>
    <t xml:space="preserve">day</t>
  </si>
  <si>
    <t xml:space="preserve">month</t>
  </si>
  <si>
    <t xml:space="preserve">year</t>
  </si>
  <si>
    <t xml:space="preserve">country</t>
  </si>
  <si>
    <t xml:space="preserve">locality</t>
  </si>
  <si>
    <t xml:space="preserve">gps_coordinates</t>
  </si>
  <si>
    <t xml:space="preserve">taxonomy</t>
  </si>
  <si>
    <t xml:space="preserve">common_name</t>
  </si>
  <si>
    <t xml:space="preserve">fieldnotes</t>
  </si>
  <si>
    <t xml:space="preserve">keywords</t>
  </si>
  <si>
    <t xml:space="preserve">location_in_lkcnhm</t>
  </si>
  <si>
    <t xml:space="preserve">catalogued_by</t>
  </si>
  <si>
    <t xml:space="preserve">catalogued_date</t>
  </si>
  <si>
    <t xml:space="preserve">access_status</t>
  </si>
  <si>
    <t xml:space="preserve">remarks</t>
  </si>
  <si>
    <t xml:space="preserve">batch_no</t>
  </si>
  <si>
    <t xml:space="preserve">sign_out_date</t>
  </si>
  <si>
    <t xml:space="preserve">sign_in_date</t>
  </si>
  <si>
    <t xml:space="preserve">date_of_qc</t>
  </si>
  <si>
    <t xml:space="preserve">checked_by</t>
  </si>
  <si>
    <t xml:space="preserve">object_condition_qc2</t>
  </si>
  <si>
    <t xml:space="preserve">data_tier_2_or_3</t>
  </si>
  <si>
    <t xml:space="preserve">Good</t>
  </si>
  <si>
    <t xml:space="preserve">NA</t>
  </si>
  <si>
    <t xml:space="preserve">"00001" /// "Lampurut 1/5" /// "LAMPURUT 2000" /// "SUMATRA UTARA 2000" /// "LOCALITY A - C"</t>
  </si>
  <si>
    <t xml:space="preserve">"LOCALITY A PARL 1"</t>
  </si>
  <si>
    <t xml:space="preserve">"1" /// "Balikpapan town" /// "[THH's signature]"</t>
  </si>
  <si>
    <t xml:space="preserve">Place</t>
  </si>
  <si>
    <t xml:space="preserve">Tan Heok Hui</t>
  </si>
  <si>
    <t xml:space="preserve">NIL</t>
  </si>
  <si>
    <t xml:space="preserve">March</t>
  </si>
  <si>
    <t xml:space="preserve">Indonesia</t>
  </si>
  <si>
    <t xml:space="preserve">Balikpapan town</t>
  </si>
  <si>
    <t xml:space="preserve">LKCNHM Level 4 Collections</t>
  </si>
  <si>
    <t xml:space="preserve">Jeslynn Teo</t>
  </si>
  <si>
    <t xml:space="preserve">Restricted</t>
  </si>
  <si>
    <t xml:space="preserve">"2" /// "Balikpapan town" /// "[THH's signature]"</t>
  </si>
  <si>
    <t xml:space="preserve">"3" /// "Balikpapan airport" /// "[THH's signature]"</t>
  </si>
  <si>
    <t xml:space="preserve">Balikpapan airport</t>
  </si>
  <si>
    <t xml:space="preserve">"4" /// "Balikpapan airport" /// "Helipad" /// "[THH's signature]"</t>
  </si>
  <si>
    <t xml:space="preserve">Person</t>
  </si>
  <si>
    <t xml:space="preserve">"5" /// "Balikpapan airport" /// "[THH's signature]"</t>
  </si>
  <si>
    <t xml:space="preserve">"6" /// "loading up helicopter" /// "Balipapan airport" /// "[THH's signature]"</t>
  </si>
  <si>
    <t xml:space="preserve">"7" /// "inside helicopter" /// "[THH's signature]"</t>
  </si>
  <si>
    <t xml:space="preserve">"8" /// "Balikpapan suburbs" /// "[THH's signature]"</t>
  </si>
  <si>
    <t xml:space="preserve">Balikpapan suburbs</t>
  </si>
  <si>
    <t xml:space="preserve">"9" /// "Balikpapan airport" /// "Aerial view" /// "[THH's signature]"</t>
  </si>
  <si>
    <t xml:space="preserve">Balikpapan airpot</t>
  </si>
  <si>
    <t xml:space="preserve">"10" /// "meandering river" /// "Balikpapan" /// "[THH's signature]"</t>
  </si>
  <si>
    <t xml:space="preserve">Balikpapan</t>
  </si>
  <si>
    <t xml:space="preserve">"11" /// "Balikpapan" /// "river mouth" /// "mangroves" /// "[THH's signature]"</t>
  </si>
  <si>
    <t xml:space="preserve">"13" /// "mangroves" /// "Balikpapan" /// "[THH's signature]"</t>
  </si>
  <si>
    <t xml:space="preserve">"14" /// "burnt forest" /// "logging tracks" /// "Balikpapan" /// "[THH's signature]"</t>
  </si>
  <si>
    <t xml:space="preserve">"15" /// "burnt forest" /// "KalTim" /// "[THH's signature]"</t>
  </si>
  <si>
    <t xml:space="preserve">KalTim</t>
  </si>
  <si>
    <t xml:space="preserve">"16" /// "burnt forest" /// "KalTim" /// "[THH's signature]"</t>
  </si>
  <si>
    <t xml:space="preserve">"17" /// "logging road" /// "KalTim" /// "[THH's signature]"</t>
  </si>
  <si>
    <t xml:space="preserve">"18" /// "logging road" /// "KalTim" /// "[THH's signature]"</t>
  </si>
  <si>
    <t xml:space="preserve">"19" /// "logging road" /// "KalTim" /// "[THH's signature]"</t>
  </si>
  <si>
    <t xml:space="preserve">"20" /// "inside chopper" /// "warning sign" /// "[THH's signature]"</t>
  </si>
  <si>
    <t xml:space="preserve">"21" /// "logging road" /// "KalTim" /// "[THH's signature]"</t>
  </si>
  <si>
    <t xml:space="preserve">"22" /// "KalTim" /// "[THH's signature]"</t>
  </si>
  <si>
    <t xml:space="preserve">"23" /// "meandering river" /// "KalTim" /// "[THH's signature]"</t>
  </si>
  <si>
    <t xml:space="preserve">"24" /// "forest" /// "KalTim" /// "[THH's signature]"</t>
  </si>
  <si>
    <t xml:space="preserve">"25" /// "logging road" /// "KalTim" /// "[THH's signature]"</t>
  </si>
  <si>
    <t xml:space="preserve">"26" /// "1 degree [symbol] [=primary] forest plains" /// "KalTim" /// "[THH's signature]"</t>
  </si>
  <si>
    <t xml:space="preserve">"27" /// "forest river" /// "KalTim" /// "[THH's signature]"</t>
  </si>
  <si>
    <t xml:space="preserve">"28" /// "Mt [=Mountain] ridge" /// "KalTim" /// "[THH's signature]"</t>
  </si>
  <si>
    <t xml:space="preserve">"29" /// "forest plains" /// "KalTim" /// "[THH's signature]"</t>
  </si>
  <si>
    <t xml:space="preserve">"30" /// "forest canopy" /// "aerial view" /// "KalTim" /// "[THH's signature]"</t>
  </si>
  <si>
    <t xml:space="preserve">"31" /// "forest canopy" /// "Aerial view" /// "KalTim" /// "[THH's signature]"</t>
  </si>
  <si>
    <t xml:space="preserve">"32" /// "forest canopy" /// "Aerial view" /// "KalTim" /// "[THH's signature]"</t>
  </si>
  <si>
    <t xml:space="preserve">"33" /// "KM72 Lampurut camp" /// "KalTim" /// "[THH's signature]"</t>
  </si>
  <si>
    <t xml:space="preserve">KM72 Lampurut Camp, KalTim</t>
  </si>
  <si>
    <t xml:space="preserve">"34" /// "forest canopy, Lampurut Block" /// "Aerial view" /// "KalTeng" /// "[THH's signature]"</t>
  </si>
  <si>
    <t xml:space="preserve">KalTeng</t>
  </si>
  <si>
    <t xml:space="preserve">"35" /// "forest canopy, Lampurut Block" /// "Aerial view" /// "KalTeng" /// "[THH's signature]"</t>
  </si>
  <si>
    <t xml:space="preserve">"36" /// "KalTeng" /// "[THH's signature]"</t>
  </si>
  <si>
    <t xml:space="preserve">"37" /// "Sand Blown up by helicopter landing" /// "KalTeng, km72 Lampurut camp" /// "[THH's signature]"</t>
  </si>
  <si>
    <t xml:space="preserve">KM72 Lampurut Camp, KalTeng</t>
  </si>
  <si>
    <t xml:space="preserve">"38" /// "refuelling chopper [=helicopter]" /// "KalTeng, Km72 lampurut camp" /// "[THH's signature]"</t>
  </si>
  <si>
    <t xml:space="preserve">"39" /// "KM72 Lampurut camp" /// "KalTeng" /// "[THH's signature]"</t>
  </si>
  <si>
    <t xml:space="preserve">"40" /// "KM72 Lampurut camp" /// "KalTeng" /// "[THH's signature]"</t>
  </si>
  <si>
    <t xml:space="preserve">"41" /// "refuelling chopper [=helicopter]" /// "KalTeng, Km72 lampurut camp" /// "[THH's signature]"</t>
  </si>
  <si>
    <t xml:space="preserve">"42" /// "KM72 Lampurut camp" /// "KalTeng" /// "[THH's signature]"</t>
  </si>
  <si>
    <t xml:space="preserve">"43" /// "group meeting" /// "km72 Lampurut camp" /// "KalTeng" /// "[THH's signature]"</t>
  </si>
  <si>
    <t xml:space="preserve">"44" /// "forest canopy" /// "Aerial view" /// "KalTeng" /// "[THH's signature]"</t>
  </si>
  <si>
    <t xml:space="preserve">"45" /// "forest canopy" /// "Aerial view" /// "KalTeng" /// "[THH's signature]"</t>
  </si>
  <si>
    <t xml:space="preserve">"LOCALITY B PARL 2" </t>
  </si>
  <si>
    <t xml:space="preserve">"46" /// "logging rd [=road]" /// "km72 Lampurut Camp" /// "KalTeng" /// "[THH's signature]"</t>
  </si>
  <si>
    <t xml:space="preserve">"47" /// "forest plains" /// "KalTeng" /// "[THH's signature]"</t>
  </si>
  <si>
    <t xml:space="preserve">"48" /// "forest canopy" /// "Aerial view" /// "KalTim" /// "[THH's signature]"</t>
  </si>
  <si>
    <t xml:space="preserve">"49" /// "forest canopy" /// "Aerial view" /// "KalTim" /// "[THH's signature]"</t>
  </si>
  <si>
    <t xml:space="preserve">"50" /// "forest canopy" /// "KalTim" /// "[THH's signature]"</t>
  </si>
  <si>
    <t xml:space="preserve">"51" /// "forest canopy" /// "KalTim" /// "[THH's signature]"</t>
  </si>
  <si>
    <t xml:space="preserve">"52" /// "Pari Camp Helipad" /// "KalTim" /// "[THH's signature]"</t>
  </si>
  <si>
    <t xml:space="preserve">"53" /// "Pari Helipad" /// "Unloading" /// "KalTim" /// "[THH's signature]"</t>
  </si>
  <si>
    <t xml:space="preserve">"54" /// "Pari Helipad" /// "KalTim" /// "[THH's signature]"</t>
  </si>
  <si>
    <t xml:space="preserve">"55" /// "Pari Helipad" /// "KalTim" /// "[THH's signature]"</t>
  </si>
  <si>
    <t xml:space="preserve">"56" /// "Helicopter taking off" /// "KalTim, Pari" /// "[THH's signature]"</t>
  </si>
  <si>
    <t xml:space="preserve">"57" /// "Helicopter taking off" /// "KalTim, Pari" /// "[THH's signature]"</t>
  </si>
  <si>
    <t xml:space="preserve">"58" /// "helicopter flying off" /// "KalTim" /// "Pari" /// "[THH's signature]"</t>
  </si>
  <si>
    <t xml:space="preserve">"59" /// "Pari camp" /// "KalTim" /// "[THH's signature]"</t>
  </si>
  <si>
    <t xml:space="preserve">"60" /// "field geat being brought in" /// "Pari camp" /// "KalTim" /// "[THH's signature]"</t>
  </si>
  <si>
    <t xml:space="preserve">"61" /// "Log bridge over Sg [=Sungei] Lomi /// "Pari camp" /// "KalTim" /// "[THH's signature]"</t>
  </si>
  <si>
    <t xml:space="preserve">"62" /// "Pari camp" /// "KalTim" /// "[THH's signature]"</t>
  </si>
  <si>
    <t xml:space="preserve">"64" /// "Mouth of Sg [=Sungei] Lomi" /// "Pari" /// "KalTim" /// "[THH's signature]"</t>
  </si>
  <si>
    <t xml:space="preserve">"65" /// "Sg [=Sungei] Pari" /// "THH0009" /// "KalTim" /// "[THH's signature]"</t>
  </si>
  <si>
    <t xml:space="preserve">Kalimantan Timur, Long Iram subdistrict, Mahakam basin</t>
  </si>
  <si>
    <t xml:space="preserve">"66" /// "Sg [=Sungei] Pari" /// "THH0009" /// "KalTim" /// "[THH's signature]"</t>
  </si>
  <si>
    <t xml:space="preserve">"67" /// "Mouth of Sg [=Sungei] Lomi" /// "Pari" /// "KalTim" /// "[THH's signature]"</t>
  </si>
  <si>
    <t xml:space="preserve">"68" /// "Sg [=Sungei] Lomi" /// "THH0011" /// "KalTim" /// "[THH's signature]"</t>
  </si>
  <si>
    <t xml:space="preserve">22, 23, 24</t>
  </si>
  <si>
    <t xml:space="preserve">00º00.05'S 114º55.23'E</t>
  </si>
  <si>
    <t xml:space="preserve">"69" /// "log bridge over sg [=sungei] Lomi" /// "KalTim" /// "Pari" /// "[THH's signature]"</t>
  </si>
  <si>
    <t xml:space="preserve">"70" /// "Preparing camp" /// "Pari" /// "KalTim" /// "[THH's signature]"</t>
  </si>
  <si>
    <t xml:space="preserve">"71" /// "Toilets and [symbol] workers' quarters" /// "Pari camp" /// "KalTim" /// "[THH's signature]"</t>
  </si>
  <si>
    <t xml:space="preserve">"72" /// "Log bridge" /// "Pari camp" /// "KalTim" /// "[THH's signature]"</t>
  </si>
  <si>
    <t xml:space="preserve">"73" /// "Flooded boat, Sg [=Sungei] Lomi" /// "Pari camp" /// "KalTim" /// "[THH's signature]"</t>
  </si>
  <si>
    <t xml:space="preserve">"74" /// "THH0013" /// "Pari" /// "KalTim" /// "[THH's signature]"</t>
  </si>
  <si>
    <t xml:space="preserve">"75" /// "THH0013" /// "Pari" /// "KalTim" /// "[THH's signature]"</t>
  </si>
  <si>
    <t xml:space="preserve">"76" /// "Jungle trail" /// "Pari" /// "KalTim" /// "[THH's signature]"</t>
  </si>
  <si>
    <t xml:space="preserve">"77" /// "Sg [=Sungei] Bandang" /// "THH0015, Pari" /// "KalTim" /// "[THH's signature]"</t>
  </si>
  <si>
    <t xml:space="preserve">"78" /// "Sg [=Sungei] Bandang" /// "THH0015, Pari" /// "KalTim" /// "[THH's signature]"</t>
  </si>
  <si>
    <t xml:space="preserve">"79" /// "Sg [=Sungei] Bandang" /// "THH0015, Pari" /// "KalTim" /// "[THH's signature]"</t>
  </si>
  <si>
    <t xml:space="preserve">"80" /// "Sg [=Sungei] Bandang" /// "THH0015, Pari" /// "KalTim" /// "[THH's signature]"</t>
  </si>
  <si>
    <t xml:space="preserve">"81" /// "trail along Kerengas forest" /// "KalTim, Pari" /// "[THH's signature]"</t>
  </si>
  <si>
    <t xml:space="preserve">"82" /// "Sg [=Sungei] Bandang" /// "THH0015, Pari" /// "KalTim" /// "[THH's signature]"</t>
  </si>
  <si>
    <t xml:space="preserve">"83" /// "Cauliflory" /// "Pari, KalTim" /// "[THH's signature]"</t>
  </si>
  <si>
    <t xml:space="preserve">Flora</t>
  </si>
  <si>
    <t xml:space="preserve">"84" /// "Cauliflory" /// "Pari, KalTim" /// "[THH's signature]"</t>
  </si>
  <si>
    <t xml:space="preserve">"85" /// "Sg [=Sungei] Pari" /// "KalTim" /// "[THH's signature]"</t>
  </si>
  <si>
    <t xml:space="preserve">"86" /// "Sg [=Sungei] Pari" /// "KalTim" /// "[THH's signature]"</t>
  </si>
  <si>
    <t xml:space="preserve">"87" /// "BLURR" /// "Sg [=Sungei] Pari" /// "KalTim" /// "[THH's signature]"</t>
  </si>
  <si>
    <t xml:space="preserve">"88" /// "Sg [=Sungei] Pari" /// "KalTim" /// "[THH's signature]"</t>
  </si>
  <si>
    <t xml:space="preserve">"89" /// "Sg [=Sungei] Pari" /// "KalTim" /// "[THH's signature]"</t>
  </si>
  <si>
    <t xml:space="preserve">"90" /// "Pari camp, fogging" /// "KalTim" /// "[THH's signature]"</t>
  </si>
  <si>
    <t xml:space="preserve">"LOCALITY C PAR1 3"</t>
  </si>
  <si>
    <t xml:space="preserve">"91" /// "Dipteris" /// "Sg [=Sungei] Pari" /// "KalTim" /// "[THH's signature]"</t>
  </si>
  <si>
    <t xml:space="preserve">"92" /// "Sg [=Sungei] Pari Horizon" /// "KalTim" /// "[THH's signature]"</t>
  </si>
  <si>
    <t xml:space="preserve">"93" /// "reflection of water ripples" /// "Sg [=Sungei] Pari" /// "KalTim" /// "[THH's signature]"</t>
  </si>
  <si>
    <t xml:space="preserve">"94" /// "Emergent dipterocarp" /// "KalTim, Pari" /// "[THH's signature]"</t>
  </si>
  <si>
    <t xml:space="preserve">"95" /// "Stairway for drill access" /// "Sg [=Sungei] Pari" /// "KalTim" /// "[THH's signature]"</t>
  </si>
  <si>
    <t xml:space="preserve">"BLURR!" /// "96" /// "exposed wal seam" /// "sg [=Sungei] Pari, KalTim" /// "[THH's signature]"</t>
  </si>
  <si>
    <t xml:space="preserve">"97" /// "Epiphytic pandanus" /// "Sg [=Sungei] Pari, KalTim" /// "[THH's signature]"</t>
  </si>
  <si>
    <t xml:space="preserve">"98" /// "Sg [=Sungei] Pari" /// "KalTim" /// "[THH's signature]"</t>
  </si>
  <si>
    <t xml:space="preserve">"99" /// "moving camp" /// "Pari arrow [symbol] NE" /// "KalTim" /// "28 Mar [=March]" /// "[THH's signature]"</t>
  </si>
  <si>
    <t xml:space="preserve">"100" /// "moving camp" /// "Pari arrow [symbol] NE" /// "KalTim" /// "28 Mar [=March]" /// "[THH's signature]"</t>
  </si>
  <si>
    <t xml:space="preserve">"101" /// "Pari camp" /// "moving camp" /// "KalTim" /// "28 Mar [=March]" /// "[THH's signature]"</t>
  </si>
  <si>
    <t xml:space="preserve">"102" /// "moving camp, Pari arrow [symbol] NE" /// "KalTim" /// "28 Mar [=March]" /// "[THH's signature]"</t>
  </si>
  <si>
    <t xml:space="preserve">Day</t>
  </si>
  <si>
    <t xml:space="preserve">Date</t>
  </si>
  <si>
    <t xml:space="preserve">Total No. of Slides</t>
  </si>
  <si>
    <t xml:space="preserve">No. of Slides (Per day)</t>
  </si>
  <si>
    <t xml:space="preserve">Transcribed?</t>
  </si>
  <si>
    <t xml:space="preserve">Remarks</t>
  </si>
  <si>
    <t xml:space="preserve">Tuesday</t>
  </si>
  <si>
    <t xml:space="preserve">N</t>
  </si>
  <si>
    <t xml:space="preserve">Wednesday</t>
  </si>
  <si>
    <t xml:space="preserve">Thursday</t>
  </si>
  <si>
    <t xml:space="preserve">Friday</t>
  </si>
  <si>
    <t xml:space="preserve">Monday</t>
  </si>
  <si>
    <t xml:space="preserve">Y</t>
  </si>
  <si>
    <t xml:space="preserve">Batch 1 and 2 exchange; Checking Batch 1</t>
  </si>
  <si>
    <t xml:space="preserve">Checking Batch 1</t>
  </si>
  <si>
    <t xml:space="preserve">Transcribing previous digitsed batches</t>
  </si>
  <si>
    <t xml:space="preserve">Transcribing Batch 1</t>
  </si>
  <si>
    <t xml:space="preserve">Transcribing previous digitised batches; Slide exchange</t>
  </si>
  <si>
    <t xml:space="preserve">Transcribing previous digitised batches</t>
  </si>
  <si>
    <t xml:space="preserve">QC2 for batch 5 and 6</t>
  </si>
  <si>
    <t xml:space="preserve">Slide exchange, QC2 for batch 11, 12</t>
  </si>
  <si>
    <t xml:space="preserve">Includes rescans of Batch 13 (overexposed slides)</t>
  </si>
  <si>
    <t xml:space="preserve">Transcribing previous batches</t>
  </si>
  <si>
    <t xml:space="preserve">Slide exchange + QC</t>
  </si>
  <si>
    <t xml:space="preserve">Filling up metadata</t>
  </si>
  <si>
    <t xml:space="preserve">Month</t>
  </si>
  <si>
    <t xml:space="preserve">Average (Per day)</t>
  </si>
  <si>
    <t xml:space="preserve">Slides per month</t>
  </si>
  <si>
    <t xml:space="preserve">Total Slides</t>
  </si>
  <si>
    <t xml:space="preserve">Total Size (GB)</t>
  </si>
  <si>
    <t xml:space="preserve">Size per slide (GB)</t>
  </si>
  <si>
    <t xml:space="preserve">Size per slide (MB)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</si>
  <si>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</si>
  <si>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</si>
  <si>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</si>
  <si>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</si>
  <si>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</si>
  <si>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</si>
  <si>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</si>
  <si>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April</t>
  </si>
  <si>
    <t xml:space="preserve">May</t>
  </si>
  <si>
    <t xml:space="preserve">June</t>
  </si>
  <si>
    <t xml:space="preserve">July</t>
  </si>
  <si>
    <t xml:space="preserve">13 to 23 May used to transcribe previously untranscribed but digitised boxes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</si>
</sst>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00.000"/>
    <numFmt numFmtId="166" formatCode="[$-4809]d\ mmm\ yyyy;@"/>
    <numFmt numFmtId="167" formatCode="d\-mmm\-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FF00"/>
        </patternFill>
      </fill>
    </dxf>
    <dxf>
      <fill>
        <patternFill>
          <bgColor theme="7" tint="0.3999"/>
        </patternFill>
      </fill>
    </dxf>
    <dxf>
      <fill>
        <patternFill>
          <bgColor theme="9" tint="0.39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H1048576"/>
  <sheetViews>
    <sheetView showFormulas="false" showGridLines="true" showRowColHeaders="true" showZeros="true" rightToLeft="false" tabSelected="true" showOutlineSymbols="true" defaultGridColor="true" view="normal" topLeftCell="A1" colorId="64" zoomScale="134" zoomScaleNormal="134" zoomScalePageLayoutView="100" workbookViewId="0">
      <pane xSplit="0" ySplit="3" topLeftCell="A4" activePane="bottomLeft" state="frozen"/>
      <selection pane="topLeft" activeCell="A1" activeCellId="0" sqref="A1"/>
      <selection pane="bottomLeft" activeCell="D1" activeCellId="0" sqref="D1"/>
    </sheetView>
  </sheetViews>
  <sheetFormatPr defaultColWidth="35.3203125" defaultRowHeight="12.75" zeroHeight="false" outlineLevelRow="0" outlineLevelCol="0"/>
  <cols>
    <col collapsed="false" customWidth="false" hidden="false" outlineLevel="0" max="1" min="1" style="1" width="35.32"/>
    <col collapsed="false" customWidth="false" hidden="false" outlineLevel="0" max="2" min="2" style="2" width="35.32"/>
    <col collapsed="false" customWidth="false" hidden="false" outlineLevel="0" max="24" min="3" style="1" width="35.32"/>
    <col collapsed="false" customWidth="false" hidden="false" outlineLevel="0" max="25" min="25" style="3" width="35.32"/>
    <col collapsed="false" customWidth="false" hidden="false" outlineLevel="0" max="30" min="26" style="1" width="35.32"/>
    <col collapsed="false" customWidth="false" hidden="false" outlineLevel="0" max="31" min="31" style="3" width="35.32"/>
    <col collapsed="false" customWidth="false" hidden="false" outlineLevel="0" max="16384" min="32" style="1" width="35.32"/>
  </cols>
  <sheetData>
    <row r="1" s="5" customFormat="true" ht="12.7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="5" customFormat="true" ht="12.75" hidden="false" customHeight="true" outlineLevel="0" collapsed="false">
      <c r="A2" s="1" t="n">
        <v>1</v>
      </c>
      <c r="B2" s="2" t="n">
        <v>1.001</v>
      </c>
      <c r="C2" s="1" t="n">
        <v>1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35</v>
      </c>
      <c r="I2" s="1" t="s">
        <v>35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n">
        <v>2000</v>
      </c>
      <c r="P2" s="1" t="s">
        <v>43</v>
      </c>
      <c r="Q2" s="1" t="s">
        <v>44</v>
      </c>
      <c r="R2" s="1"/>
      <c r="S2" s="1"/>
      <c r="T2" s="1"/>
      <c r="U2" s="1"/>
      <c r="V2" s="1"/>
      <c r="W2" s="1" t="s">
        <v>45</v>
      </c>
      <c r="X2" s="1" t="s">
        <v>46</v>
      </c>
      <c r="Y2" s="3" t="n">
        <v>44502</v>
      </c>
      <c r="Z2" s="1" t="s">
        <v>47</v>
      </c>
      <c r="AA2" s="1"/>
      <c r="AB2" s="1" t="n">
        <v>1</v>
      </c>
      <c r="AC2" s="1"/>
      <c r="AD2" s="1"/>
      <c r="AE2" s="3"/>
      <c r="AF2" s="1"/>
      <c r="AG2" s="1"/>
    </row>
    <row r="3" s="5" customFormat="true" ht="12.75" hidden="false" customHeight="true" outlineLevel="0" collapsed="false">
      <c r="A3" s="1" t="n">
        <v>2</v>
      </c>
      <c r="B3" s="2" t="n">
        <v>1.002</v>
      </c>
      <c r="C3" s="1" t="n">
        <v>1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35</v>
      </c>
      <c r="I3" s="1" t="s">
        <v>35</v>
      </c>
      <c r="J3" s="1" t="s">
        <v>48</v>
      </c>
      <c r="K3" s="1" t="s">
        <v>39</v>
      </c>
      <c r="L3" s="1" t="s">
        <v>40</v>
      </c>
      <c r="M3" s="1" t="s">
        <v>41</v>
      </c>
      <c r="N3" s="1" t="s">
        <v>42</v>
      </c>
      <c r="O3" s="1" t="n">
        <v>2000</v>
      </c>
      <c r="P3" s="1" t="s">
        <v>43</v>
      </c>
      <c r="Q3" s="1" t="s">
        <v>44</v>
      </c>
      <c r="R3" s="1"/>
      <c r="S3" s="1"/>
      <c r="T3" s="1"/>
      <c r="U3" s="1"/>
      <c r="V3" s="1"/>
      <c r="W3" s="1" t="s">
        <v>45</v>
      </c>
      <c r="X3" s="1" t="s">
        <v>46</v>
      </c>
      <c r="Y3" s="3" t="n">
        <v>44502</v>
      </c>
      <c r="Z3" s="1" t="s">
        <v>47</v>
      </c>
      <c r="AA3" s="1"/>
      <c r="AB3" s="1" t="n">
        <v>1</v>
      </c>
      <c r="AC3" s="1"/>
      <c r="AD3" s="1"/>
      <c r="AE3" s="3"/>
      <c r="AF3" s="1"/>
      <c r="AG3" s="1"/>
    </row>
    <row r="4" s="5" customFormat="true" ht="12.75" hidden="false" customHeight="true" outlineLevel="0" collapsed="false">
      <c r="A4" s="1" t="n">
        <v>3</v>
      </c>
      <c r="B4" s="2" t="n">
        <v>1.003</v>
      </c>
      <c r="C4" s="1" t="n">
        <v>1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35</v>
      </c>
      <c r="I4" s="1" t="s">
        <v>35</v>
      </c>
      <c r="J4" s="1" t="s">
        <v>49</v>
      </c>
      <c r="K4" s="1" t="s">
        <v>39</v>
      </c>
      <c r="L4" s="1" t="s">
        <v>40</v>
      </c>
      <c r="M4" s="1" t="s">
        <v>41</v>
      </c>
      <c r="N4" s="1" t="s">
        <v>42</v>
      </c>
      <c r="O4" s="1" t="n">
        <v>2000</v>
      </c>
      <c r="P4" s="1" t="s">
        <v>43</v>
      </c>
      <c r="Q4" s="1" t="s">
        <v>50</v>
      </c>
      <c r="R4" s="1"/>
      <c r="S4" s="1"/>
      <c r="T4" s="1"/>
      <c r="U4" s="1"/>
      <c r="V4" s="1"/>
      <c r="W4" s="1" t="s">
        <v>45</v>
      </c>
      <c r="X4" s="1" t="s">
        <v>46</v>
      </c>
      <c r="Y4" s="3" t="n">
        <v>44502</v>
      </c>
      <c r="Z4" s="1" t="s">
        <v>47</v>
      </c>
      <c r="AA4" s="1"/>
      <c r="AB4" s="1" t="n">
        <v>1</v>
      </c>
      <c r="AC4" s="1"/>
      <c r="AD4" s="1"/>
      <c r="AE4" s="3"/>
      <c r="AF4" s="1"/>
      <c r="AG4" s="1"/>
    </row>
    <row r="5" s="5" customFormat="true" ht="12.75" hidden="false" customHeight="true" outlineLevel="0" collapsed="false">
      <c r="A5" s="1" t="n">
        <v>4</v>
      </c>
      <c r="B5" s="2" t="n">
        <v>1.004</v>
      </c>
      <c r="C5" s="1" t="n">
        <v>1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35</v>
      </c>
      <c r="I5" s="1" t="s">
        <v>35</v>
      </c>
      <c r="J5" s="1" t="s">
        <v>51</v>
      </c>
      <c r="K5" s="1" t="s">
        <v>52</v>
      </c>
      <c r="L5" s="1" t="s">
        <v>40</v>
      </c>
      <c r="M5" s="1" t="s">
        <v>41</v>
      </c>
      <c r="N5" s="1" t="s">
        <v>42</v>
      </c>
      <c r="O5" s="1" t="n">
        <v>2000</v>
      </c>
      <c r="P5" s="1" t="s">
        <v>43</v>
      </c>
      <c r="Q5" s="1" t="s">
        <v>50</v>
      </c>
      <c r="R5" s="1"/>
      <c r="S5" s="1"/>
      <c r="T5" s="1"/>
      <c r="U5" s="1"/>
      <c r="V5" s="1"/>
      <c r="W5" s="1" t="s">
        <v>45</v>
      </c>
      <c r="X5" s="1" t="s">
        <v>46</v>
      </c>
      <c r="Y5" s="3" t="n">
        <v>44502</v>
      </c>
      <c r="Z5" s="1" t="s">
        <v>47</v>
      </c>
      <c r="AA5" s="1"/>
      <c r="AB5" s="1" t="n">
        <v>1</v>
      </c>
      <c r="AC5" s="1"/>
      <c r="AD5" s="1"/>
      <c r="AE5" s="3"/>
      <c r="AF5" s="1"/>
      <c r="AG5" s="1"/>
    </row>
    <row r="6" s="5" customFormat="true" ht="12.75" hidden="false" customHeight="true" outlineLevel="0" collapsed="false">
      <c r="A6" s="1" t="n">
        <v>5</v>
      </c>
      <c r="B6" s="2" t="n">
        <v>1.005</v>
      </c>
      <c r="C6" s="1" t="n">
        <v>1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35</v>
      </c>
      <c r="I6" s="1" t="s">
        <v>35</v>
      </c>
      <c r="J6" s="1" t="s">
        <v>53</v>
      </c>
      <c r="K6" s="1" t="s">
        <v>52</v>
      </c>
      <c r="L6" s="1" t="s">
        <v>40</v>
      </c>
      <c r="M6" s="1" t="s">
        <v>41</v>
      </c>
      <c r="N6" s="1" t="s">
        <v>42</v>
      </c>
      <c r="O6" s="1" t="n">
        <v>2000</v>
      </c>
      <c r="P6" s="1" t="s">
        <v>43</v>
      </c>
      <c r="Q6" s="1" t="s">
        <v>50</v>
      </c>
      <c r="R6" s="1"/>
      <c r="S6" s="1"/>
      <c r="T6" s="1"/>
      <c r="U6" s="1"/>
      <c r="V6" s="1"/>
      <c r="W6" s="1" t="s">
        <v>45</v>
      </c>
      <c r="X6" s="1" t="s">
        <v>46</v>
      </c>
      <c r="Y6" s="3" t="n">
        <v>44502</v>
      </c>
      <c r="Z6" s="1" t="s">
        <v>47</v>
      </c>
      <c r="AA6" s="1"/>
      <c r="AB6" s="1" t="n">
        <v>1</v>
      </c>
      <c r="AC6" s="1"/>
      <c r="AD6" s="1"/>
      <c r="AE6" s="3"/>
      <c r="AF6" s="1"/>
      <c r="AG6" s="1"/>
    </row>
    <row r="7" s="5" customFormat="true" ht="12.75" hidden="false" customHeight="true" outlineLevel="0" collapsed="false">
      <c r="A7" s="1" t="n">
        <v>6</v>
      </c>
      <c r="B7" s="2" t="n">
        <v>1.006</v>
      </c>
      <c r="C7" s="1" t="n">
        <v>1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35</v>
      </c>
      <c r="I7" s="1" t="s">
        <v>35</v>
      </c>
      <c r="J7" s="1" t="s">
        <v>54</v>
      </c>
      <c r="K7" s="1" t="s">
        <v>52</v>
      </c>
      <c r="L7" s="1" t="s">
        <v>40</v>
      </c>
      <c r="M7" s="1" t="s">
        <v>41</v>
      </c>
      <c r="N7" s="1" t="s">
        <v>42</v>
      </c>
      <c r="O7" s="1" t="n">
        <v>2000</v>
      </c>
      <c r="P7" s="1" t="s">
        <v>43</v>
      </c>
      <c r="Q7" s="1" t="s">
        <v>50</v>
      </c>
      <c r="R7" s="1"/>
      <c r="S7" s="1"/>
      <c r="T7" s="1"/>
      <c r="U7" s="1"/>
      <c r="V7" s="1"/>
      <c r="W7" s="1" t="s">
        <v>45</v>
      </c>
      <c r="X7" s="1" t="s">
        <v>46</v>
      </c>
      <c r="Y7" s="3" t="n">
        <v>44502</v>
      </c>
      <c r="Z7" s="1" t="s">
        <v>47</v>
      </c>
      <c r="AA7" s="1"/>
      <c r="AB7" s="1" t="n">
        <v>1</v>
      </c>
      <c r="AC7" s="1"/>
      <c r="AD7" s="1"/>
      <c r="AE7" s="3"/>
      <c r="AF7" s="1"/>
      <c r="AG7" s="1"/>
    </row>
    <row r="8" s="5" customFormat="true" ht="12.75" hidden="false" customHeight="true" outlineLevel="0" collapsed="false">
      <c r="A8" s="1" t="n">
        <v>7</v>
      </c>
      <c r="B8" s="2" t="n">
        <v>1.007</v>
      </c>
      <c r="C8" s="1" t="n">
        <v>1</v>
      </c>
      <c r="D8" s="1" t="s">
        <v>34</v>
      </c>
      <c r="E8" s="1" t="s">
        <v>35</v>
      </c>
      <c r="F8" s="1" t="s">
        <v>36</v>
      </c>
      <c r="G8" s="1" t="s">
        <v>37</v>
      </c>
      <c r="H8" s="1" t="s">
        <v>35</v>
      </c>
      <c r="I8" s="1" t="s">
        <v>35</v>
      </c>
      <c r="J8" s="1" t="s">
        <v>55</v>
      </c>
      <c r="K8" s="1" t="s">
        <v>52</v>
      </c>
      <c r="L8" s="1" t="s">
        <v>40</v>
      </c>
      <c r="M8" s="1" t="s">
        <v>41</v>
      </c>
      <c r="N8" s="1" t="s">
        <v>42</v>
      </c>
      <c r="O8" s="1" t="n">
        <v>2000</v>
      </c>
      <c r="P8" s="1" t="s">
        <v>43</v>
      </c>
      <c r="Q8" s="1" t="s">
        <v>35</v>
      </c>
      <c r="R8" s="1"/>
      <c r="S8" s="1"/>
      <c r="T8" s="1"/>
      <c r="U8" s="1"/>
      <c r="V8" s="1"/>
      <c r="W8" s="1" t="s">
        <v>45</v>
      </c>
      <c r="X8" s="1" t="s">
        <v>46</v>
      </c>
      <c r="Y8" s="3" t="n">
        <v>44502</v>
      </c>
      <c r="Z8" s="1" t="s">
        <v>47</v>
      </c>
      <c r="AA8" s="1"/>
      <c r="AB8" s="1" t="n">
        <v>1</v>
      </c>
      <c r="AC8" s="1"/>
      <c r="AD8" s="1"/>
      <c r="AE8" s="3"/>
      <c r="AF8" s="1"/>
      <c r="AG8" s="1"/>
    </row>
    <row r="9" s="5" customFormat="true" ht="12.75" hidden="false" customHeight="true" outlineLevel="0" collapsed="false">
      <c r="A9" s="1" t="n">
        <v>8</v>
      </c>
      <c r="B9" s="2" t="n">
        <v>1.008</v>
      </c>
      <c r="C9" s="1" t="n">
        <v>1</v>
      </c>
      <c r="D9" s="1" t="s">
        <v>34</v>
      </c>
      <c r="E9" s="1" t="s">
        <v>35</v>
      </c>
      <c r="F9" s="1" t="s">
        <v>36</v>
      </c>
      <c r="G9" s="1" t="s">
        <v>37</v>
      </c>
      <c r="H9" s="1" t="s">
        <v>35</v>
      </c>
      <c r="I9" s="1" t="s">
        <v>35</v>
      </c>
      <c r="J9" s="1" t="s">
        <v>56</v>
      </c>
      <c r="K9" s="1" t="s">
        <v>39</v>
      </c>
      <c r="L9" s="1" t="s">
        <v>40</v>
      </c>
      <c r="M9" s="1" t="s">
        <v>41</v>
      </c>
      <c r="N9" s="1" t="s">
        <v>42</v>
      </c>
      <c r="O9" s="1" t="n">
        <v>2000</v>
      </c>
      <c r="P9" s="1" t="s">
        <v>43</v>
      </c>
      <c r="Q9" s="1" t="s">
        <v>57</v>
      </c>
      <c r="R9" s="1"/>
      <c r="S9" s="1"/>
      <c r="T9" s="1"/>
      <c r="U9" s="1"/>
      <c r="V9" s="1"/>
      <c r="W9" s="1" t="s">
        <v>45</v>
      </c>
      <c r="X9" s="1" t="s">
        <v>46</v>
      </c>
      <c r="Y9" s="3" t="n">
        <v>44502</v>
      </c>
      <c r="Z9" s="1" t="s">
        <v>47</v>
      </c>
      <c r="AA9" s="1"/>
      <c r="AB9" s="1" t="n">
        <v>1</v>
      </c>
      <c r="AC9" s="1"/>
      <c r="AD9" s="1"/>
      <c r="AE9" s="3"/>
      <c r="AF9" s="1"/>
      <c r="AG9" s="1"/>
    </row>
    <row r="10" s="5" customFormat="true" ht="12.75" hidden="false" customHeight="true" outlineLevel="0" collapsed="false">
      <c r="A10" s="1" t="n">
        <v>9</v>
      </c>
      <c r="B10" s="2" t="n">
        <v>1.009</v>
      </c>
      <c r="C10" s="1" t="n">
        <v>1</v>
      </c>
      <c r="D10" s="1" t="s">
        <v>34</v>
      </c>
      <c r="E10" s="1" t="s">
        <v>35</v>
      </c>
      <c r="F10" s="1" t="s">
        <v>36</v>
      </c>
      <c r="G10" s="1" t="s">
        <v>37</v>
      </c>
      <c r="H10" s="1" t="s">
        <v>35</v>
      </c>
      <c r="I10" s="1" t="s">
        <v>35</v>
      </c>
      <c r="J10" s="1" t="s">
        <v>58</v>
      </c>
      <c r="K10" s="1" t="s">
        <v>39</v>
      </c>
      <c r="L10" s="1" t="s">
        <v>40</v>
      </c>
      <c r="M10" s="1" t="s">
        <v>41</v>
      </c>
      <c r="N10" s="1" t="s">
        <v>42</v>
      </c>
      <c r="O10" s="1" t="n">
        <v>2000</v>
      </c>
      <c r="P10" s="1" t="s">
        <v>43</v>
      </c>
      <c r="Q10" s="1" t="s">
        <v>59</v>
      </c>
      <c r="R10" s="1"/>
      <c r="S10" s="1"/>
      <c r="T10" s="1"/>
      <c r="U10" s="1"/>
      <c r="V10" s="1"/>
      <c r="W10" s="1" t="s">
        <v>45</v>
      </c>
      <c r="X10" s="1" t="s">
        <v>46</v>
      </c>
      <c r="Y10" s="3" t="n">
        <v>44502</v>
      </c>
      <c r="Z10" s="1" t="s">
        <v>47</v>
      </c>
      <c r="AA10" s="1"/>
      <c r="AB10" s="1" t="n">
        <v>1</v>
      </c>
      <c r="AC10" s="1"/>
      <c r="AD10" s="1"/>
      <c r="AE10" s="3"/>
      <c r="AF10" s="1"/>
      <c r="AG10" s="1"/>
    </row>
    <row r="11" s="5" customFormat="true" ht="12.75" hidden="false" customHeight="true" outlineLevel="0" collapsed="false">
      <c r="A11" s="1" t="n">
        <v>10</v>
      </c>
      <c r="B11" s="2" t="n">
        <v>1.01</v>
      </c>
      <c r="C11" s="1" t="n">
        <v>1</v>
      </c>
      <c r="D11" s="1" t="s">
        <v>34</v>
      </c>
      <c r="E11" s="1" t="s">
        <v>35</v>
      </c>
      <c r="F11" s="1" t="s">
        <v>36</v>
      </c>
      <c r="G11" s="1" t="s">
        <v>37</v>
      </c>
      <c r="H11" s="1" t="s">
        <v>35</v>
      </c>
      <c r="I11" s="1" t="s">
        <v>35</v>
      </c>
      <c r="J11" s="1" t="s">
        <v>60</v>
      </c>
      <c r="K11" s="1" t="s">
        <v>39</v>
      </c>
      <c r="L11" s="1" t="s">
        <v>40</v>
      </c>
      <c r="M11" s="1" t="s">
        <v>41</v>
      </c>
      <c r="N11" s="1" t="s">
        <v>42</v>
      </c>
      <c r="O11" s="1" t="n">
        <v>2000</v>
      </c>
      <c r="P11" s="1" t="s">
        <v>43</v>
      </c>
      <c r="Q11" s="1" t="s">
        <v>61</v>
      </c>
      <c r="R11" s="1"/>
      <c r="S11" s="1"/>
      <c r="T11" s="1"/>
      <c r="U11" s="1"/>
      <c r="V11" s="1"/>
      <c r="W11" s="1" t="s">
        <v>45</v>
      </c>
      <c r="X11" s="1" t="s">
        <v>46</v>
      </c>
      <c r="Y11" s="3" t="n">
        <v>44502</v>
      </c>
      <c r="Z11" s="1" t="s">
        <v>47</v>
      </c>
      <c r="AA11" s="1"/>
      <c r="AB11" s="1" t="n">
        <v>1</v>
      </c>
      <c r="AC11" s="1"/>
      <c r="AD11" s="1"/>
      <c r="AE11" s="3"/>
      <c r="AF11" s="1"/>
      <c r="AG11" s="1"/>
    </row>
    <row r="12" s="5" customFormat="true" ht="12.75" hidden="false" customHeight="true" outlineLevel="0" collapsed="false">
      <c r="A12" s="1" t="n">
        <v>11</v>
      </c>
      <c r="B12" s="2" t="n">
        <v>1.011</v>
      </c>
      <c r="C12" s="1" t="n">
        <v>1</v>
      </c>
      <c r="D12" s="1" t="s">
        <v>34</v>
      </c>
      <c r="E12" s="1" t="s">
        <v>35</v>
      </c>
      <c r="F12" s="1" t="s">
        <v>36</v>
      </c>
      <c r="G12" s="1" t="s">
        <v>37</v>
      </c>
      <c r="H12" s="1" t="s">
        <v>35</v>
      </c>
      <c r="I12" s="1" t="s">
        <v>35</v>
      </c>
      <c r="J12" s="1" t="s">
        <v>62</v>
      </c>
      <c r="K12" s="1" t="s">
        <v>39</v>
      </c>
      <c r="L12" s="1" t="s">
        <v>40</v>
      </c>
      <c r="M12" s="1" t="s">
        <v>41</v>
      </c>
      <c r="N12" s="1" t="s">
        <v>42</v>
      </c>
      <c r="O12" s="1" t="n">
        <v>2000</v>
      </c>
      <c r="P12" s="1" t="s">
        <v>43</v>
      </c>
      <c r="Q12" s="1" t="s">
        <v>61</v>
      </c>
      <c r="R12" s="1"/>
      <c r="S12" s="1"/>
      <c r="T12" s="1"/>
      <c r="U12" s="1"/>
      <c r="V12" s="1"/>
      <c r="W12" s="1" t="s">
        <v>45</v>
      </c>
      <c r="X12" s="1" t="s">
        <v>46</v>
      </c>
      <c r="Y12" s="3" t="n">
        <v>44502</v>
      </c>
      <c r="Z12" s="1" t="s">
        <v>47</v>
      </c>
      <c r="AA12" s="1"/>
      <c r="AB12" s="1" t="n">
        <v>1</v>
      </c>
      <c r="AC12" s="1"/>
      <c r="AD12" s="1"/>
      <c r="AE12" s="3"/>
      <c r="AF12" s="1"/>
      <c r="AG12" s="1"/>
    </row>
    <row r="13" s="5" customFormat="true" ht="12.75" hidden="false" customHeight="true" outlineLevel="0" collapsed="false">
      <c r="A13" s="1" t="n">
        <v>12</v>
      </c>
      <c r="B13" s="2" t="n">
        <v>1.012</v>
      </c>
      <c r="C13" s="1" t="n">
        <v>1</v>
      </c>
      <c r="D13" s="1" t="s">
        <v>34</v>
      </c>
      <c r="E13" s="1" t="s">
        <v>35</v>
      </c>
      <c r="F13" s="1" t="s">
        <v>36</v>
      </c>
      <c r="G13" s="1" t="s">
        <v>37</v>
      </c>
      <c r="H13" s="1" t="s">
        <v>35</v>
      </c>
      <c r="I13" s="1" t="s">
        <v>35</v>
      </c>
      <c r="J13" s="1" t="s">
        <v>63</v>
      </c>
      <c r="K13" s="1" t="s">
        <v>39</v>
      </c>
      <c r="L13" s="1" t="s">
        <v>40</v>
      </c>
      <c r="M13" s="1" t="s">
        <v>41</v>
      </c>
      <c r="N13" s="1" t="s">
        <v>42</v>
      </c>
      <c r="O13" s="1" t="n">
        <v>2000</v>
      </c>
      <c r="P13" s="1" t="s">
        <v>43</v>
      </c>
      <c r="Q13" s="1" t="s">
        <v>61</v>
      </c>
      <c r="R13" s="1"/>
      <c r="S13" s="1"/>
      <c r="T13" s="1"/>
      <c r="U13" s="1"/>
      <c r="V13" s="1"/>
      <c r="W13" s="1" t="s">
        <v>45</v>
      </c>
      <c r="X13" s="1" t="s">
        <v>46</v>
      </c>
      <c r="Y13" s="3" t="n">
        <v>44502</v>
      </c>
      <c r="Z13" s="1" t="s">
        <v>47</v>
      </c>
      <c r="AA13" s="1"/>
      <c r="AB13" s="1" t="n">
        <v>1</v>
      </c>
      <c r="AC13" s="1"/>
      <c r="AD13" s="1"/>
      <c r="AE13" s="3"/>
      <c r="AF13" s="1"/>
      <c r="AG13" s="1"/>
    </row>
    <row r="14" s="5" customFormat="true" ht="12.75" hidden="false" customHeight="true" outlineLevel="0" collapsed="false">
      <c r="A14" s="1" t="n">
        <v>13</v>
      </c>
      <c r="B14" s="2" t="n">
        <v>1.013</v>
      </c>
      <c r="C14" s="1" t="n">
        <v>1</v>
      </c>
      <c r="D14" s="1" t="s">
        <v>34</v>
      </c>
      <c r="E14" s="1" t="s">
        <v>35</v>
      </c>
      <c r="F14" s="1" t="s">
        <v>36</v>
      </c>
      <c r="G14" s="1" t="s">
        <v>37</v>
      </c>
      <c r="H14" s="1" t="s">
        <v>35</v>
      </c>
      <c r="I14" s="1" t="s">
        <v>35</v>
      </c>
      <c r="J14" s="1" t="s">
        <v>64</v>
      </c>
      <c r="K14" s="1" t="s">
        <v>39</v>
      </c>
      <c r="L14" s="1" t="s">
        <v>40</v>
      </c>
      <c r="M14" s="1" t="s">
        <v>41</v>
      </c>
      <c r="N14" s="1" t="s">
        <v>42</v>
      </c>
      <c r="O14" s="1" t="n">
        <v>2000</v>
      </c>
      <c r="P14" s="1" t="s">
        <v>43</v>
      </c>
      <c r="Q14" s="1" t="s">
        <v>61</v>
      </c>
      <c r="R14" s="1"/>
      <c r="S14" s="1"/>
      <c r="T14" s="1"/>
      <c r="U14" s="1"/>
      <c r="V14" s="1"/>
      <c r="W14" s="1" t="s">
        <v>45</v>
      </c>
      <c r="X14" s="1" t="s">
        <v>46</v>
      </c>
      <c r="Y14" s="3" t="n">
        <v>44502</v>
      </c>
      <c r="Z14" s="1" t="s">
        <v>47</v>
      </c>
      <c r="AA14" s="1"/>
      <c r="AB14" s="1" t="n">
        <v>1</v>
      </c>
      <c r="AC14" s="1"/>
      <c r="AD14" s="1"/>
      <c r="AE14" s="3"/>
      <c r="AF14" s="1"/>
      <c r="AG14" s="1"/>
    </row>
    <row r="15" s="5" customFormat="true" ht="12.75" hidden="false" customHeight="true" outlineLevel="0" collapsed="false">
      <c r="A15" s="1" t="n">
        <v>14</v>
      </c>
      <c r="B15" s="2" t="n">
        <v>1.014</v>
      </c>
      <c r="C15" s="1" t="n">
        <v>1</v>
      </c>
      <c r="D15" s="1" t="s">
        <v>34</v>
      </c>
      <c r="E15" s="1" t="s">
        <v>35</v>
      </c>
      <c r="F15" s="1" t="s">
        <v>36</v>
      </c>
      <c r="G15" s="1" t="s">
        <v>37</v>
      </c>
      <c r="H15" s="1" t="s">
        <v>35</v>
      </c>
      <c r="I15" s="1" t="s">
        <v>35</v>
      </c>
      <c r="J15" s="1" t="s">
        <v>65</v>
      </c>
      <c r="K15" s="1" t="s">
        <v>39</v>
      </c>
      <c r="L15" s="1" t="s">
        <v>40</v>
      </c>
      <c r="M15" s="1" t="s">
        <v>41</v>
      </c>
      <c r="N15" s="1" t="s">
        <v>42</v>
      </c>
      <c r="O15" s="1" t="n">
        <v>2000</v>
      </c>
      <c r="P15" s="1" t="s">
        <v>43</v>
      </c>
      <c r="Q15" s="1" t="s">
        <v>66</v>
      </c>
      <c r="R15" s="1"/>
      <c r="S15" s="1"/>
      <c r="T15" s="1"/>
      <c r="U15" s="1"/>
      <c r="V15" s="1"/>
      <c r="W15" s="1" t="s">
        <v>45</v>
      </c>
      <c r="X15" s="1" t="s">
        <v>46</v>
      </c>
      <c r="Y15" s="3" t="n">
        <v>44502</v>
      </c>
      <c r="Z15" s="1" t="s">
        <v>47</v>
      </c>
      <c r="AA15" s="1"/>
      <c r="AB15" s="1" t="n">
        <v>1</v>
      </c>
      <c r="AC15" s="1"/>
      <c r="AD15" s="1"/>
      <c r="AE15" s="3"/>
      <c r="AF15" s="1"/>
      <c r="AG15" s="1"/>
    </row>
    <row r="16" s="5" customFormat="true" ht="12.75" hidden="false" customHeight="true" outlineLevel="0" collapsed="false">
      <c r="A16" s="1" t="n">
        <v>15</v>
      </c>
      <c r="B16" s="2" t="n">
        <v>1.015</v>
      </c>
      <c r="C16" s="1" t="n">
        <v>1</v>
      </c>
      <c r="D16" s="1" t="s">
        <v>34</v>
      </c>
      <c r="E16" s="1" t="s">
        <v>35</v>
      </c>
      <c r="F16" s="1" t="s">
        <v>36</v>
      </c>
      <c r="G16" s="1" t="s">
        <v>37</v>
      </c>
      <c r="H16" s="1" t="s">
        <v>35</v>
      </c>
      <c r="I16" s="1" t="s">
        <v>35</v>
      </c>
      <c r="J16" s="1" t="s">
        <v>67</v>
      </c>
      <c r="K16" s="1" t="s">
        <v>39</v>
      </c>
      <c r="L16" s="1" t="s">
        <v>40</v>
      </c>
      <c r="M16" s="1" t="s">
        <v>41</v>
      </c>
      <c r="N16" s="1" t="s">
        <v>42</v>
      </c>
      <c r="O16" s="1" t="n">
        <v>2000</v>
      </c>
      <c r="P16" s="1" t="s">
        <v>43</v>
      </c>
      <c r="Q16" s="1" t="s">
        <v>66</v>
      </c>
      <c r="R16" s="1"/>
      <c r="S16" s="1"/>
      <c r="T16" s="1"/>
      <c r="U16" s="1"/>
      <c r="V16" s="1"/>
      <c r="W16" s="1" t="s">
        <v>45</v>
      </c>
      <c r="X16" s="1" t="s">
        <v>46</v>
      </c>
      <c r="Y16" s="3" t="n">
        <v>44502</v>
      </c>
      <c r="Z16" s="1" t="s">
        <v>47</v>
      </c>
      <c r="AA16" s="1"/>
      <c r="AB16" s="1" t="n">
        <v>1</v>
      </c>
      <c r="AC16" s="1"/>
      <c r="AD16" s="1"/>
      <c r="AE16" s="3"/>
      <c r="AF16" s="1"/>
      <c r="AG16" s="1"/>
    </row>
    <row r="17" s="5" customFormat="true" ht="12.75" hidden="false" customHeight="true" outlineLevel="0" collapsed="false">
      <c r="A17" s="1" t="n">
        <v>16</v>
      </c>
      <c r="B17" s="2" t="n">
        <v>1.016</v>
      </c>
      <c r="C17" s="1" t="n">
        <v>1</v>
      </c>
      <c r="D17" s="1" t="s">
        <v>34</v>
      </c>
      <c r="E17" s="1" t="s">
        <v>35</v>
      </c>
      <c r="F17" s="1" t="s">
        <v>36</v>
      </c>
      <c r="G17" s="1" t="s">
        <v>37</v>
      </c>
      <c r="H17" s="1" t="s">
        <v>35</v>
      </c>
      <c r="I17" s="1" t="s">
        <v>35</v>
      </c>
      <c r="J17" s="1" t="s">
        <v>68</v>
      </c>
      <c r="K17" s="1" t="s">
        <v>39</v>
      </c>
      <c r="L17" s="1" t="s">
        <v>40</v>
      </c>
      <c r="M17" s="1" t="s">
        <v>41</v>
      </c>
      <c r="N17" s="1" t="s">
        <v>42</v>
      </c>
      <c r="O17" s="1" t="n">
        <v>2000</v>
      </c>
      <c r="P17" s="1" t="s">
        <v>43</v>
      </c>
      <c r="Q17" s="1" t="s">
        <v>66</v>
      </c>
      <c r="R17" s="1"/>
      <c r="S17" s="1"/>
      <c r="T17" s="1"/>
      <c r="U17" s="1"/>
      <c r="V17" s="1"/>
      <c r="W17" s="1" t="s">
        <v>45</v>
      </c>
      <c r="X17" s="1" t="s">
        <v>46</v>
      </c>
      <c r="Y17" s="3" t="n">
        <v>44502</v>
      </c>
      <c r="Z17" s="1" t="s">
        <v>47</v>
      </c>
      <c r="AA17" s="1"/>
      <c r="AB17" s="1" t="n">
        <v>1</v>
      </c>
      <c r="AC17" s="1"/>
      <c r="AD17" s="1"/>
      <c r="AE17" s="3"/>
      <c r="AF17" s="1"/>
      <c r="AG17" s="1"/>
    </row>
    <row r="18" s="5" customFormat="true" ht="12.75" hidden="false" customHeight="true" outlineLevel="0" collapsed="false">
      <c r="A18" s="1" t="n">
        <v>17</v>
      </c>
      <c r="B18" s="2" t="n">
        <v>1.017</v>
      </c>
      <c r="C18" s="1" t="n">
        <v>1</v>
      </c>
      <c r="D18" s="1" t="s">
        <v>34</v>
      </c>
      <c r="E18" s="1" t="s">
        <v>35</v>
      </c>
      <c r="F18" s="1" t="s">
        <v>36</v>
      </c>
      <c r="G18" s="1" t="s">
        <v>37</v>
      </c>
      <c r="H18" s="1" t="s">
        <v>35</v>
      </c>
      <c r="I18" s="1" t="s">
        <v>35</v>
      </c>
      <c r="J18" s="1" t="s">
        <v>69</v>
      </c>
      <c r="K18" s="1" t="s">
        <v>39</v>
      </c>
      <c r="L18" s="1" t="s">
        <v>40</v>
      </c>
      <c r="M18" s="1" t="s">
        <v>41</v>
      </c>
      <c r="N18" s="1" t="s">
        <v>42</v>
      </c>
      <c r="O18" s="1" t="n">
        <v>2000</v>
      </c>
      <c r="P18" s="1" t="s">
        <v>43</v>
      </c>
      <c r="Q18" s="1" t="s">
        <v>66</v>
      </c>
      <c r="R18" s="1"/>
      <c r="S18" s="1"/>
      <c r="T18" s="1"/>
      <c r="U18" s="1"/>
      <c r="V18" s="1"/>
      <c r="W18" s="1" t="s">
        <v>45</v>
      </c>
      <c r="X18" s="1" t="s">
        <v>46</v>
      </c>
      <c r="Y18" s="3" t="n">
        <v>44502</v>
      </c>
      <c r="Z18" s="1" t="s">
        <v>47</v>
      </c>
      <c r="AA18" s="1"/>
      <c r="AB18" s="1" t="n">
        <v>1</v>
      </c>
      <c r="AC18" s="1"/>
      <c r="AD18" s="1"/>
      <c r="AE18" s="3"/>
      <c r="AF18" s="1"/>
      <c r="AG18" s="1"/>
    </row>
    <row r="19" s="5" customFormat="true" ht="12.75" hidden="false" customHeight="true" outlineLevel="0" collapsed="false">
      <c r="A19" s="1" t="n">
        <v>18</v>
      </c>
      <c r="B19" s="2" t="n">
        <v>1.018</v>
      </c>
      <c r="C19" s="1" t="n">
        <v>1</v>
      </c>
      <c r="D19" s="1" t="s">
        <v>34</v>
      </c>
      <c r="E19" s="1" t="s">
        <v>35</v>
      </c>
      <c r="F19" s="1" t="s">
        <v>36</v>
      </c>
      <c r="G19" s="1" t="s">
        <v>37</v>
      </c>
      <c r="H19" s="1" t="s">
        <v>35</v>
      </c>
      <c r="I19" s="1" t="s">
        <v>35</v>
      </c>
      <c r="J19" s="1" t="s">
        <v>70</v>
      </c>
      <c r="K19" s="1" t="s">
        <v>39</v>
      </c>
      <c r="L19" s="1" t="s">
        <v>40</v>
      </c>
      <c r="M19" s="1" t="s">
        <v>41</v>
      </c>
      <c r="N19" s="1" t="s">
        <v>42</v>
      </c>
      <c r="O19" s="1" t="n">
        <v>2000</v>
      </c>
      <c r="P19" s="1" t="s">
        <v>43</v>
      </c>
      <c r="Q19" s="1" t="s">
        <v>66</v>
      </c>
      <c r="R19" s="1"/>
      <c r="S19" s="1"/>
      <c r="T19" s="1"/>
      <c r="U19" s="1"/>
      <c r="V19" s="1"/>
      <c r="W19" s="1" t="s">
        <v>45</v>
      </c>
      <c r="X19" s="1" t="s">
        <v>46</v>
      </c>
      <c r="Y19" s="3" t="n">
        <v>44502</v>
      </c>
      <c r="Z19" s="1" t="s">
        <v>47</v>
      </c>
      <c r="AA19" s="1"/>
      <c r="AB19" s="1" t="n">
        <v>1</v>
      </c>
      <c r="AC19" s="1"/>
      <c r="AD19" s="1"/>
      <c r="AE19" s="3"/>
      <c r="AF19" s="1"/>
      <c r="AG19" s="1"/>
    </row>
    <row r="20" s="5" customFormat="true" ht="12.75" hidden="false" customHeight="true" outlineLevel="0" collapsed="false">
      <c r="A20" s="1" t="n">
        <v>19</v>
      </c>
      <c r="B20" s="2" t="n">
        <v>1.019</v>
      </c>
      <c r="C20" s="1" t="n">
        <v>1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35</v>
      </c>
      <c r="I20" s="1" t="s">
        <v>35</v>
      </c>
      <c r="J20" s="1" t="s">
        <v>71</v>
      </c>
      <c r="K20" s="1" t="s">
        <v>39</v>
      </c>
      <c r="L20" s="1" t="s">
        <v>40</v>
      </c>
      <c r="M20" s="1" t="s">
        <v>41</v>
      </c>
      <c r="N20" s="1" t="s">
        <v>42</v>
      </c>
      <c r="O20" s="1" t="n">
        <v>2000</v>
      </c>
      <c r="P20" s="1" t="s">
        <v>43</v>
      </c>
      <c r="Q20" s="1" t="s">
        <v>35</v>
      </c>
      <c r="R20" s="1"/>
      <c r="S20" s="1"/>
      <c r="T20" s="1"/>
      <c r="U20" s="1"/>
      <c r="V20" s="1"/>
      <c r="W20" s="1" t="s">
        <v>45</v>
      </c>
      <c r="X20" s="1" t="s">
        <v>46</v>
      </c>
      <c r="Y20" s="3" t="n">
        <v>44502</v>
      </c>
      <c r="Z20" s="1" t="s">
        <v>47</v>
      </c>
      <c r="AA20" s="1"/>
      <c r="AB20" s="1" t="n">
        <v>1</v>
      </c>
      <c r="AC20" s="1"/>
      <c r="AD20" s="1"/>
      <c r="AE20" s="3"/>
      <c r="AF20" s="1"/>
      <c r="AG20" s="1"/>
    </row>
    <row r="21" s="5" customFormat="true" ht="12.75" hidden="false" customHeight="true" outlineLevel="0" collapsed="false">
      <c r="A21" s="1" t="n">
        <v>20</v>
      </c>
      <c r="B21" s="2" t="n">
        <v>1.02</v>
      </c>
      <c r="C21" s="1" t="n">
        <v>1</v>
      </c>
      <c r="D21" s="1" t="s">
        <v>34</v>
      </c>
      <c r="E21" s="1" t="s">
        <v>35</v>
      </c>
      <c r="F21" s="1" t="s">
        <v>36</v>
      </c>
      <c r="G21" s="1" t="s">
        <v>37</v>
      </c>
      <c r="H21" s="1" t="s">
        <v>35</v>
      </c>
      <c r="I21" s="1" t="s">
        <v>35</v>
      </c>
      <c r="J21" s="1" t="s">
        <v>72</v>
      </c>
      <c r="K21" s="1" t="s">
        <v>39</v>
      </c>
      <c r="L21" s="1" t="s">
        <v>40</v>
      </c>
      <c r="M21" s="1" t="s">
        <v>41</v>
      </c>
      <c r="N21" s="1" t="s">
        <v>42</v>
      </c>
      <c r="O21" s="1" t="n">
        <v>2000</v>
      </c>
      <c r="P21" s="1" t="s">
        <v>43</v>
      </c>
      <c r="Q21" s="1" t="s">
        <v>66</v>
      </c>
      <c r="R21" s="1"/>
      <c r="S21" s="1"/>
      <c r="T21" s="1"/>
      <c r="U21" s="1"/>
      <c r="V21" s="1"/>
      <c r="W21" s="1" t="s">
        <v>45</v>
      </c>
      <c r="X21" s="1" t="s">
        <v>46</v>
      </c>
      <c r="Y21" s="3" t="n">
        <v>44502</v>
      </c>
      <c r="Z21" s="1" t="s">
        <v>47</v>
      </c>
      <c r="AA21" s="1"/>
      <c r="AB21" s="1" t="n">
        <v>1</v>
      </c>
      <c r="AC21" s="1"/>
      <c r="AD21" s="1"/>
      <c r="AE21" s="3"/>
      <c r="AF21" s="1"/>
      <c r="AG21" s="1"/>
    </row>
    <row r="22" s="5" customFormat="true" ht="12.75" hidden="false" customHeight="true" outlineLevel="0" collapsed="false">
      <c r="A22" s="1" t="n">
        <v>21</v>
      </c>
      <c r="B22" s="2" t="n">
        <v>1.021</v>
      </c>
      <c r="C22" s="1" t="n">
        <v>1</v>
      </c>
      <c r="D22" s="1" t="s">
        <v>34</v>
      </c>
      <c r="E22" s="1" t="s">
        <v>35</v>
      </c>
      <c r="F22" s="1" t="s">
        <v>36</v>
      </c>
      <c r="G22" s="1" t="s">
        <v>37</v>
      </c>
      <c r="H22" s="1" t="s">
        <v>35</v>
      </c>
      <c r="I22" s="1" t="s">
        <v>35</v>
      </c>
      <c r="J22" s="1" t="s">
        <v>73</v>
      </c>
      <c r="K22" s="1" t="s">
        <v>39</v>
      </c>
      <c r="L22" s="1" t="s">
        <v>40</v>
      </c>
      <c r="M22" s="1" t="s">
        <v>41</v>
      </c>
      <c r="N22" s="1" t="s">
        <v>42</v>
      </c>
      <c r="O22" s="1" t="n">
        <v>2000</v>
      </c>
      <c r="P22" s="1" t="s">
        <v>43</v>
      </c>
      <c r="Q22" s="1" t="s">
        <v>66</v>
      </c>
      <c r="R22" s="1"/>
      <c r="S22" s="1"/>
      <c r="T22" s="1"/>
      <c r="U22" s="1"/>
      <c r="V22" s="1"/>
      <c r="W22" s="1" t="s">
        <v>45</v>
      </c>
      <c r="X22" s="1" t="s">
        <v>46</v>
      </c>
      <c r="Y22" s="3" t="n">
        <v>44502</v>
      </c>
      <c r="Z22" s="1" t="s">
        <v>47</v>
      </c>
      <c r="AA22" s="1"/>
      <c r="AB22" s="1" t="n">
        <v>1</v>
      </c>
      <c r="AC22" s="1"/>
      <c r="AD22" s="1"/>
      <c r="AE22" s="3"/>
      <c r="AF22" s="1"/>
      <c r="AG22" s="1"/>
    </row>
    <row r="23" s="5" customFormat="true" ht="12.75" hidden="false" customHeight="true" outlineLevel="0" collapsed="false">
      <c r="A23" s="1" t="n">
        <v>22</v>
      </c>
      <c r="B23" s="2" t="n">
        <v>1.022</v>
      </c>
      <c r="C23" s="1" t="n">
        <v>1</v>
      </c>
      <c r="D23" s="1" t="s">
        <v>34</v>
      </c>
      <c r="E23" s="1" t="s">
        <v>35</v>
      </c>
      <c r="F23" s="1" t="s">
        <v>36</v>
      </c>
      <c r="G23" s="1" t="s">
        <v>37</v>
      </c>
      <c r="H23" s="1" t="s">
        <v>35</v>
      </c>
      <c r="I23" s="1" t="s">
        <v>35</v>
      </c>
      <c r="J23" s="1" t="s">
        <v>74</v>
      </c>
      <c r="K23" s="1" t="s">
        <v>39</v>
      </c>
      <c r="L23" s="1" t="s">
        <v>40</v>
      </c>
      <c r="M23" s="1" t="s">
        <v>41</v>
      </c>
      <c r="N23" s="1" t="s">
        <v>42</v>
      </c>
      <c r="O23" s="1" t="n">
        <v>2000</v>
      </c>
      <c r="P23" s="1" t="s">
        <v>43</v>
      </c>
      <c r="Q23" s="1" t="s">
        <v>66</v>
      </c>
      <c r="R23" s="1"/>
      <c r="S23" s="1"/>
      <c r="T23" s="1"/>
      <c r="U23" s="1"/>
      <c r="V23" s="1"/>
      <c r="W23" s="1" t="s">
        <v>45</v>
      </c>
      <c r="X23" s="1" t="s">
        <v>46</v>
      </c>
      <c r="Y23" s="3" t="n">
        <v>44502</v>
      </c>
      <c r="Z23" s="1" t="s">
        <v>47</v>
      </c>
      <c r="AA23" s="1"/>
      <c r="AB23" s="1" t="n">
        <v>1</v>
      </c>
      <c r="AC23" s="1"/>
      <c r="AD23" s="1"/>
      <c r="AE23" s="3"/>
      <c r="AF23" s="1"/>
      <c r="AG23" s="1"/>
    </row>
    <row r="24" s="5" customFormat="true" ht="12.75" hidden="false" customHeight="true" outlineLevel="0" collapsed="false">
      <c r="A24" s="1" t="n">
        <v>23</v>
      </c>
      <c r="B24" s="2" t="n">
        <v>1.023</v>
      </c>
      <c r="C24" s="1" t="n">
        <v>1</v>
      </c>
      <c r="D24" s="1" t="s">
        <v>34</v>
      </c>
      <c r="E24" s="1" t="s">
        <v>35</v>
      </c>
      <c r="F24" s="1" t="s">
        <v>36</v>
      </c>
      <c r="G24" s="1" t="s">
        <v>37</v>
      </c>
      <c r="H24" s="1" t="s">
        <v>35</v>
      </c>
      <c r="I24" s="1" t="s">
        <v>35</v>
      </c>
      <c r="J24" s="1" t="s">
        <v>75</v>
      </c>
      <c r="K24" s="1" t="s">
        <v>39</v>
      </c>
      <c r="L24" s="1" t="s">
        <v>40</v>
      </c>
      <c r="M24" s="1" t="s">
        <v>41</v>
      </c>
      <c r="N24" s="1" t="s">
        <v>42</v>
      </c>
      <c r="O24" s="1" t="n">
        <v>2000</v>
      </c>
      <c r="P24" s="1" t="s">
        <v>43</v>
      </c>
      <c r="Q24" s="1" t="s">
        <v>66</v>
      </c>
      <c r="R24" s="1"/>
      <c r="S24" s="1"/>
      <c r="T24" s="1"/>
      <c r="U24" s="1"/>
      <c r="V24" s="1"/>
      <c r="W24" s="1" t="s">
        <v>45</v>
      </c>
      <c r="X24" s="1" t="s">
        <v>46</v>
      </c>
      <c r="Y24" s="3" t="n">
        <v>44502</v>
      </c>
      <c r="Z24" s="1" t="s">
        <v>47</v>
      </c>
      <c r="AA24" s="1"/>
      <c r="AB24" s="1" t="n">
        <v>1</v>
      </c>
      <c r="AC24" s="1"/>
      <c r="AD24" s="1"/>
      <c r="AE24" s="3"/>
      <c r="AF24" s="1"/>
      <c r="AG24" s="1"/>
    </row>
    <row r="25" s="5" customFormat="true" ht="12.75" hidden="false" customHeight="true" outlineLevel="0" collapsed="false">
      <c r="A25" s="1" t="n">
        <v>24</v>
      </c>
      <c r="B25" s="2" t="n">
        <v>1.024</v>
      </c>
      <c r="C25" s="1" t="n">
        <v>1</v>
      </c>
      <c r="D25" s="1" t="s">
        <v>34</v>
      </c>
      <c r="E25" s="1" t="s">
        <v>35</v>
      </c>
      <c r="F25" s="1" t="s">
        <v>36</v>
      </c>
      <c r="G25" s="1" t="s">
        <v>37</v>
      </c>
      <c r="H25" s="1" t="s">
        <v>35</v>
      </c>
      <c r="I25" s="1" t="s">
        <v>35</v>
      </c>
      <c r="J25" s="1" t="s">
        <v>76</v>
      </c>
      <c r="K25" s="1" t="s">
        <v>39</v>
      </c>
      <c r="L25" s="1" t="s">
        <v>40</v>
      </c>
      <c r="M25" s="1" t="s">
        <v>41</v>
      </c>
      <c r="N25" s="1" t="s">
        <v>42</v>
      </c>
      <c r="O25" s="1" t="n">
        <v>2000</v>
      </c>
      <c r="P25" s="1" t="s">
        <v>43</v>
      </c>
      <c r="Q25" s="1" t="s">
        <v>66</v>
      </c>
      <c r="R25" s="1"/>
      <c r="S25" s="1"/>
      <c r="T25" s="1"/>
      <c r="U25" s="1"/>
      <c r="V25" s="1"/>
      <c r="W25" s="1" t="s">
        <v>45</v>
      </c>
      <c r="X25" s="1" t="s">
        <v>46</v>
      </c>
      <c r="Y25" s="3" t="n">
        <v>44502</v>
      </c>
      <c r="Z25" s="1" t="s">
        <v>47</v>
      </c>
      <c r="AA25" s="1"/>
      <c r="AB25" s="1" t="n">
        <v>1</v>
      </c>
      <c r="AC25" s="1"/>
      <c r="AD25" s="1"/>
      <c r="AE25" s="3"/>
      <c r="AF25" s="1"/>
      <c r="AG25" s="1"/>
    </row>
    <row r="26" s="5" customFormat="true" ht="12.75" hidden="false" customHeight="true" outlineLevel="0" collapsed="false">
      <c r="A26" s="1" t="n">
        <v>25</v>
      </c>
      <c r="B26" s="2" t="n">
        <v>1.025</v>
      </c>
      <c r="C26" s="1" t="n">
        <v>1</v>
      </c>
      <c r="D26" s="1" t="s">
        <v>34</v>
      </c>
      <c r="E26" s="1" t="s">
        <v>35</v>
      </c>
      <c r="F26" s="1" t="s">
        <v>36</v>
      </c>
      <c r="G26" s="1" t="s">
        <v>37</v>
      </c>
      <c r="H26" s="1" t="s">
        <v>35</v>
      </c>
      <c r="I26" s="1" t="s">
        <v>35</v>
      </c>
      <c r="J26" s="1" t="s">
        <v>77</v>
      </c>
      <c r="K26" s="1" t="s">
        <v>39</v>
      </c>
      <c r="L26" s="1" t="s">
        <v>40</v>
      </c>
      <c r="M26" s="1" t="s">
        <v>41</v>
      </c>
      <c r="N26" s="1" t="s">
        <v>42</v>
      </c>
      <c r="O26" s="1" t="n">
        <v>2000</v>
      </c>
      <c r="P26" s="1" t="s">
        <v>43</v>
      </c>
      <c r="Q26" s="1" t="s">
        <v>66</v>
      </c>
      <c r="R26" s="1"/>
      <c r="S26" s="1"/>
      <c r="T26" s="1"/>
      <c r="U26" s="1"/>
      <c r="V26" s="1"/>
      <c r="W26" s="1" t="s">
        <v>45</v>
      </c>
      <c r="X26" s="1" t="s">
        <v>46</v>
      </c>
      <c r="Y26" s="3" t="n">
        <v>44502</v>
      </c>
      <c r="Z26" s="1" t="s">
        <v>47</v>
      </c>
      <c r="AA26" s="1"/>
      <c r="AB26" s="1" t="n">
        <v>1</v>
      </c>
      <c r="AC26" s="1"/>
      <c r="AD26" s="1"/>
      <c r="AE26" s="3"/>
      <c r="AF26" s="1"/>
      <c r="AG26" s="1"/>
    </row>
    <row r="27" s="5" customFormat="true" ht="12.75" hidden="false" customHeight="true" outlineLevel="0" collapsed="false">
      <c r="A27" s="1" t="n">
        <v>26</v>
      </c>
      <c r="B27" s="2" t="n">
        <v>1.026</v>
      </c>
      <c r="C27" s="1" t="n">
        <v>1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35</v>
      </c>
      <c r="I27" s="1" t="s">
        <v>35</v>
      </c>
      <c r="J27" s="1" t="s">
        <v>78</v>
      </c>
      <c r="K27" s="1" t="s">
        <v>39</v>
      </c>
      <c r="L27" s="1" t="s">
        <v>40</v>
      </c>
      <c r="M27" s="1" t="s">
        <v>41</v>
      </c>
      <c r="N27" s="1" t="s">
        <v>42</v>
      </c>
      <c r="O27" s="1" t="n">
        <v>2000</v>
      </c>
      <c r="P27" s="1" t="s">
        <v>43</v>
      </c>
      <c r="Q27" s="1" t="s">
        <v>66</v>
      </c>
      <c r="R27" s="1"/>
      <c r="S27" s="1"/>
      <c r="T27" s="1"/>
      <c r="U27" s="1"/>
      <c r="V27" s="1"/>
      <c r="W27" s="1" t="s">
        <v>45</v>
      </c>
      <c r="X27" s="1" t="s">
        <v>46</v>
      </c>
      <c r="Y27" s="3" t="n">
        <v>44502</v>
      </c>
      <c r="Z27" s="1" t="s">
        <v>47</v>
      </c>
      <c r="AA27" s="1"/>
      <c r="AB27" s="1" t="n">
        <v>1</v>
      </c>
      <c r="AC27" s="1"/>
      <c r="AD27" s="1"/>
      <c r="AE27" s="3"/>
      <c r="AF27" s="1"/>
      <c r="AG27" s="1"/>
    </row>
    <row r="28" s="5" customFormat="true" ht="12.75" hidden="false" customHeight="true" outlineLevel="0" collapsed="false">
      <c r="A28" s="1" t="n">
        <v>27</v>
      </c>
      <c r="B28" s="2" t="n">
        <v>1.027</v>
      </c>
      <c r="C28" s="1" t="n">
        <v>1</v>
      </c>
      <c r="D28" s="1" t="s">
        <v>34</v>
      </c>
      <c r="E28" s="1" t="s">
        <v>35</v>
      </c>
      <c r="F28" s="1" t="s">
        <v>36</v>
      </c>
      <c r="G28" s="1" t="s">
        <v>37</v>
      </c>
      <c r="H28" s="1" t="s">
        <v>35</v>
      </c>
      <c r="I28" s="1" t="s">
        <v>35</v>
      </c>
      <c r="J28" s="1" t="s">
        <v>79</v>
      </c>
      <c r="K28" s="1" t="s">
        <v>52</v>
      </c>
      <c r="L28" s="1" t="s">
        <v>40</v>
      </c>
      <c r="M28" s="1" t="s">
        <v>41</v>
      </c>
      <c r="N28" s="1" t="s">
        <v>42</v>
      </c>
      <c r="O28" s="1" t="n">
        <v>2000</v>
      </c>
      <c r="P28" s="1" t="s">
        <v>43</v>
      </c>
      <c r="Q28" s="1" t="s">
        <v>66</v>
      </c>
      <c r="R28" s="1"/>
      <c r="S28" s="1"/>
      <c r="T28" s="1"/>
      <c r="U28" s="1"/>
      <c r="V28" s="1"/>
      <c r="W28" s="1" t="s">
        <v>45</v>
      </c>
      <c r="X28" s="1" t="s">
        <v>46</v>
      </c>
      <c r="Y28" s="3" t="n">
        <v>44502</v>
      </c>
      <c r="Z28" s="1" t="s">
        <v>47</v>
      </c>
      <c r="AA28" s="1"/>
      <c r="AB28" s="1" t="n">
        <v>1</v>
      </c>
      <c r="AC28" s="1"/>
      <c r="AD28" s="1"/>
      <c r="AE28" s="3"/>
      <c r="AF28" s="1"/>
      <c r="AG28" s="1"/>
    </row>
    <row r="29" s="5" customFormat="true" ht="12.75" hidden="false" customHeight="true" outlineLevel="0" collapsed="false">
      <c r="A29" s="1" t="n">
        <v>28</v>
      </c>
      <c r="B29" s="2" t="n">
        <v>1.028</v>
      </c>
      <c r="C29" s="1" t="n">
        <v>1</v>
      </c>
      <c r="D29" s="1" t="s">
        <v>34</v>
      </c>
      <c r="E29" s="1" t="s">
        <v>35</v>
      </c>
      <c r="F29" s="1" t="s">
        <v>36</v>
      </c>
      <c r="G29" s="1" t="s">
        <v>37</v>
      </c>
      <c r="H29" s="1" t="s">
        <v>35</v>
      </c>
      <c r="I29" s="1" t="s">
        <v>35</v>
      </c>
      <c r="J29" s="1" t="s">
        <v>80</v>
      </c>
      <c r="K29" s="1" t="s">
        <v>39</v>
      </c>
      <c r="L29" s="1" t="s">
        <v>40</v>
      </c>
      <c r="M29" s="1" t="s">
        <v>41</v>
      </c>
      <c r="N29" s="1" t="s">
        <v>42</v>
      </c>
      <c r="O29" s="1" t="n">
        <v>2000</v>
      </c>
      <c r="P29" s="1" t="s">
        <v>43</v>
      </c>
      <c r="Q29" s="1" t="s">
        <v>66</v>
      </c>
      <c r="R29" s="1"/>
      <c r="S29" s="1"/>
      <c r="T29" s="1"/>
      <c r="U29" s="1"/>
      <c r="V29" s="1"/>
      <c r="W29" s="1" t="s">
        <v>45</v>
      </c>
      <c r="X29" s="1" t="s">
        <v>46</v>
      </c>
      <c r="Y29" s="3" t="n">
        <v>44502</v>
      </c>
      <c r="Z29" s="1" t="s">
        <v>47</v>
      </c>
      <c r="AA29" s="1"/>
      <c r="AB29" s="1" t="n">
        <v>1</v>
      </c>
      <c r="AC29" s="1"/>
      <c r="AD29" s="1"/>
      <c r="AE29" s="3"/>
      <c r="AF29" s="1"/>
      <c r="AG29" s="1"/>
    </row>
    <row r="30" s="5" customFormat="true" ht="12.75" hidden="false" customHeight="true" outlineLevel="0" collapsed="false">
      <c r="A30" s="1" t="n">
        <v>29</v>
      </c>
      <c r="B30" s="2" t="n">
        <v>1.029</v>
      </c>
      <c r="C30" s="1" t="n">
        <v>1</v>
      </c>
      <c r="D30" s="1" t="s">
        <v>34</v>
      </c>
      <c r="E30" s="1" t="s">
        <v>35</v>
      </c>
      <c r="F30" s="1" t="s">
        <v>36</v>
      </c>
      <c r="G30" s="1" t="s">
        <v>37</v>
      </c>
      <c r="H30" s="1" t="s">
        <v>35</v>
      </c>
      <c r="I30" s="1" t="s">
        <v>35</v>
      </c>
      <c r="J30" s="1" t="s">
        <v>81</v>
      </c>
      <c r="K30" s="1" t="s">
        <v>39</v>
      </c>
      <c r="L30" s="1" t="s">
        <v>40</v>
      </c>
      <c r="M30" s="1" t="s">
        <v>41</v>
      </c>
      <c r="N30" s="1" t="s">
        <v>42</v>
      </c>
      <c r="O30" s="1" t="n">
        <v>2000</v>
      </c>
      <c r="P30" s="1" t="s">
        <v>43</v>
      </c>
      <c r="Q30" s="1" t="s">
        <v>66</v>
      </c>
      <c r="R30" s="1"/>
      <c r="S30" s="1"/>
      <c r="T30" s="1"/>
      <c r="U30" s="1"/>
      <c r="V30" s="1"/>
      <c r="W30" s="1" t="s">
        <v>45</v>
      </c>
      <c r="X30" s="1" t="s">
        <v>46</v>
      </c>
      <c r="Y30" s="3" t="n">
        <v>44502</v>
      </c>
      <c r="Z30" s="1" t="s">
        <v>47</v>
      </c>
      <c r="AA30" s="1"/>
      <c r="AB30" s="1" t="n">
        <v>1</v>
      </c>
      <c r="AC30" s="1"/>
      <c r="AD30" s="1"/>
      <c r="AE30" s="3"/>
      <c r="AF30" s="1"/>
      <c r="AG30" s="1"/>
    </row>
    <row r="31" s="5" customFormat="true" ht="12.75" hidden="false" customHeight="true" outlineLevel="0" collapsed="false">
      <c r="A31" s="1" t="n">
        <v>30</v>
      </c>
      <c r="B31" s="2" t="n">
        <v>1.03</v>
      </c>
      <c r="C31" s="1" t="n">
        <v>1</v>
      </c>
      <c r="D31" s="1" t="s">
        <v>34</v>
      </c>
      <c r="E31" s="1" t="s">
        <v>35</v>
      </c>
      <c r="F31" s="1" t="s">
        <v>36</v>
      </c>
      <c r="G31" s="1" t="s">
        <v>37</v>
      </c>
      <c r="H31" s="1" t="s">
        <v>35</v>
      </c>
      <c r="I31" s="1" t="s">
        <v>35</v>
      </c>
      <c r="J31" s="1" t="s">
        <v>82</v>
      </c>
      <c r="K31" s="1" t="s">
        <v>39</v>
      </c>
      <c r="L31" s="1" t="s">
        <v>40</v>
      </c>
      <c r="M31" s="1" t="s">
        <v>41</v>
      </c>
      <c r="N31" s="1" t="s">
        <v>42</v>
      </c>
      <c r="O31" s="1" t="n">
        <v>2000</v>
      </c>
      <c r="P31" s="1" t="s">
        <v>43</v>
      </c>
      <c r="Q31" s="1" t="s">
        <v>66</v>
      </c>
      <c r="R31" s="1"/>
      <c r="S31" s="1"/>
      <c r="T31" s="1"/>
      <c r="U31" s="1"/>
      <c r="V31" s="1"/>
      <c r="W31" s="1" t="s">
        <v>45</v>
      </c>
      <c r="X31" s="1" t="s">
        <v>46</v>
      </c>
      <c r="Y31" s="3" t="n">
        <v>44502</v>
      </c>
      <c r="Z31" s="1" t="s">
        <v>47</v>
      </c>
      <c r="AA31" s="1"/>
      <c r="AB31" s="1" t="n">
        <v>1</v>
      </c>
      <c r="AC31" s="1"/>
      <c r="AD31" s="1"/>
      <c r="AE31" s="3"/>
      <c r="AF31" s="1"/>
      <c r="AG31" s="1"/>
    </row>
    <row r="32" s="5" customFormat="true" ht="12.75" hidden="false" customHeight="true" outlineLevel="0" collapsed="false">
      <c r="A32" s="1" t="n">
        <v>31</v>
      </c>
      <c r="B32" s="2" t="n">
        <v>1.031</v>
      </c>
      <c r="C32" s="1" t="n">
        <v>1</v>
      </c>
      <c r="D32" s="1" t="s">
        <v>34</v>
      </c>
      <c r="E32" s="1" t="s">
        <v>35</v>
      </c>
      <c r="F32" s="1" t="s">
        <v>36</v>
      </c>
      <c r="G32" s="1" t="s">
        <v>37</v>
      </c>
      <c r="H32" s="1" t="s">
        <v>35</v>
      </c>
      <c r="I32" s="1" t="s">
        <v>35</v>
      </c>
      <c r="J32" s="1" t="s">
        <v>83</v>
      </c>
      <c r="K32" s="1" t="s">
        <v>39</v>
      </c>
      <c r="L32" s="1" t="s">
        <v>40</v>
      </c>
      <c r="M32" s="1" t="s">
        <v>41</v>
      </c>
      <c r="N32" s="1" t="s">
        <v>42</v>
      </c>
      <c r="O32" s="1" t="n">
        <v>2000</v>
      </c>
      <c r="P32" s="1" t="s">
        <v>43</v>
      </c>
      <c r="Q32" s="1" t="s">
        <v>66</v>
      </c>
      <c r="R32" s="1"/>
      <c r="S32" s="1"/>
      <c r="T32" s="1"/>
      <c r="U32" s="1"/>
      <c r="V32" s="1"/>
      <c r="W32" s="1" t="s">
        <v>45</v>
      </c>
      <c r="X32" s="1" t="s">
        <v>46</v>
      </c>
      <c r="Y32" s="3" t="n">
        <v>44502</v>
      </c>
      <c r="Z32" s="1" t="s">
        <v>47</v>
      </c>
      <c r="AA32" s="1"/>
      <c r="AB32" s="1" t="n">
        <v>1</v>
      </c>
      <c r="AC32" s="1"/>
      <c r="AD32" s="1"/>
      <c r="AE32" s="3"/>
      <c r="AF32" s="1"/>
      <c r="AG32" s="1"/>
    </row>
    <row r="33" s="5" customFormat="true" ht="12.75" hidden="false" customHeight="true" outlineLevel="0" collapsed="false">
      <c r="A33" s="1" t="n">
        <v>32</v>
      </c>
      <c r="B33" s="2" t="n">
        <v>1.032</v>
      </c>
      <c r="C33" s="1" t="n">
        <v>1</v>
      </c>
      <c r="D33" s="1" t="s">
        <v>34</v>
      </c>
      <c r="E33" s="1" t="s">
        <v>35</v>
      </c>
      <c r="F33" s="1" t="s">
        <v>36</v>
      </c>
      <c r="G33" s="1" t="s">
        <v>37</v>
      </c>
      <c r="H33" s="1" t="s">
        <v>35</v>
      </c>
      <c r="I33" s="1" t="s">
        <v>35</v>
      </c>
      <c r="J33" s="1" t="s">
        <v>84</v>
      </c>
      <c r="K33" s="1" t="s">
        <v>39</v>
      </c>
      <c r="L33" s="1" t="s">
        <v>40</v>
      </c>
      <c r="M33" s="1" t="s">
        <v>41</v>
      </c>
      <c r="N33" s="1" t="s">
        <v>42</v>
      </c>
      <c r="O33" s="1" t="n">
        <v>2000</v>
      </c>
      <c r="P33" s="1" t="s">
        <v>43</v>
      </c>
      <c r="Q33" s="1" t="s">
        <v>85</v>
      </c>
      <c r="R33" s="1"/>
      <c r="S33" s="1"/>
      <c r="T33" s="1"/>
      <c r="U33" s="1"/>
      <c r="V33" s="1"/>
      <c r="W33" s="1" t="s">
        <v>45</v>
      </c>
      <c r="X33" s="1" t="s">
        <v>46</v>
      </c>
      <c r="Y33" s="3" t="n">
        <v>44502</v>
      </c>
      <c r="Z33" s="1" t="s">
        <v>47</v>
      </c>
      <c r="AA33" s="1"/>
      <c r="AB33" s="1" t="n">
        <v>1</v>
      </c>
      <c r="AC33" s="1"/>
      <c r="AD33" s="1"/>
      <c r="AE33" s="3"/>
      <c r="AF33" s="1"/>
      <c r="AG33" s="1"/>
    </row>
    <row r="34" s="5" customFormat="true" ht="12.75" hidden="false" customHeight="true" outlineLevel="0" collapsed="false">
      <c r="A34" s="1" t="n">
        <v>33</v>
      </c>
      <c r="B34" s="2" t="n">
        <v>1.033</v>
      </c>
      <c r="C34" s="1" t="n">
        <v>1</v>
      </c>
      <c r="D34" s="1" t="s">
        <v>34</v>
      </c>
      <c r="E34" s="1" t="s">
        <v>35</v>
      </c>
      <c r="F34" s="1" t="s">
        <v>36</v>
      </c>
      <c r="G34" s="1" t="s">
        <v>37</v>
      </c>
      <c r="H34" s="1" t="s">
        <v>35</v>
      </c>
      <c r="I34" s="1" t="s">
        <v>35</v>
      </c>
      <c r="J34" s="1" t="s">
        <v>86</v>
      </c>
      <c r="K34" s="1" t="s">
        <v>39</v>
      </c>
      <c r="L34" s="1" t="s">
        <v>40</v>
      </c>
      <c r="M34" s="1" t="s">
        <v>41</v>
      </c>
      <c r="N34" s="1" t="s">
        <v>42</v>
      </c>
      <c r="O34" s="1" t="n">
        <v>2000</v>
      </c>
      <c r="P34" s="1" t="s">
        <v>43</v>
      </c>
      <c r="Q34" s="1" t="s">
        <v>87</v>
      </c>
      <c r="R34" s="1"/>
      <c r="S34" s="1"/>
      <c r="T34" s="1"/>
      <c r="U34" s="1"/>
      <c r="V34" s="1"/>
      <c r="W34" s="1" t="s">
        <v>45</v>
      </c>
      <c r="X34" s="1" t="s">
        <v>46</v>
      </c>
      <c r="Y34" s="3" t="n">
        <v>44502</v>
      </c>
      <c r="Z34" s="1" t="s">
        <v>47</v>
      </c>
      <c r="AA34" s="1"/>
      <c r="AB34" s="1" t="n">
        <v>1</v>
      </c>
      <c r="AC34" s="1"/>
      <c r="AD34" s="1"/>
      <c r="AE34" s="3"/>
      <c r="AF34" s="1"/>
      <c r="AG34" s="1"/>
    </row>
    <row r="35" s="5" customFormat="true" ht="12.75" hidden="false" customHeight="true" outlineLevel="0" collapsed="false">
      <c r="A35" s="1" t="n">
        <v>34</v>
      </c>
      <c r="B35" s="2" t="n">
        <v>1.034</v>
      </c>
      <c r="C35" s="1" t="n">
        <v>1</v>
      </c>
      <c r="D35" s="1" t="s">
        <v>34</v>
      </c>
      <c r="E35" s="1" t="s">
        <v>35</v>
      </c>
      <c r="F35" s="1" t="s">
        <v>36</v>
      </c>
      <c r="G35" s="1" t="s">
        <v>37</v>
      </c>
      <c r="H35" s="1" t="s">
        <v>35</v>
      </c>
      <c r="I35" s="1" t="s">
        <v>35</v>
      </c>
      <c r="J35" s="1" t="s">
        <v>88</v>
      </c>
      <c r="K35" s="1" t="s">
        <v>39</v>
      </c>
      <c r="L35" s="1" t="s">
        <v>40</v>
      </c>
      <c r="M35" s="1" t="s">
        <v>41</v>
      </c>
      <c r="N35" s="1" t="s">
        <v>42</v>
      </c>
      <c r="O35" s="1" t="n">
        <v>2000</v>
      </c>
      <c r="P35" s="1" t="s">
        <v>43</v>
      </c>
      <c r="Q35" s="1" t="s">
        <v>87</v>
      </c>
      <c r="R35" s="1"/>
      <c r="S35" s="1"/>
      <c r="T35" s="1"/>
      <c r="U35" s="1"/>
      <c r="V35" s="1"/>
      <c r="W35" s="1" t="s">
        <v>45</v>
      </c>
      <c r="X35" s="1" t="s">
        <v>46</v>
      </c>
      <c r="Y35" s="3" t="n">
        <v>44502</v>
      </c>
      <c r="Z35" s="1" t="s">
        <v>47</v>
      </c>
      <c r="AA35" s="1"/>
      <c r="AB35" s="1" t="n">
        <v>1</v>
      </c>
      <c r="AC35" s="1"/>
      <c r="AD35" s="1"/>
      <c r="AE35" s="3"/>
      <c r="AF35" s="1"/>
      <c r="AG35" s="1"/>
    </row>
    <row r="36" s="5" customFormat="true" ht="12.75" hidden="false" customHeight="true" outlineLevel="0" collapsed="false">
      <c r="A36" s="1" t="n">
        <v>35</v>
      </c>
      <c r="B36" s="2" t="n">
        <v>1.035</v>
      </c>
      <c r="C36" s="1" t="n">
        <v>1</v>
      </c>
      <c r="D36" s="1" t="s">
        <v>34</v>
      </c>
      <c r="E36" s="1" t="s">
        <v>35</v>
      </c>
      <c r="F36" s="1" t="s">
        <v>36</v>
      </c>
      <c r="G36" s="1" t="s">
        <v>37</v>
      </c>
      <c r="H36" s="1" t="s">
        <v>35</v>
      </c>
      <c r="I36" s="1" t="s">
        <v>35</v>
      </c>
      <c r="J36" s="1" t="s">
        <v>89</v>
      </c>
      <c r="K36" s="1" t="s">
        <v>39</v>
      </c>
      <c r="L36" s="1" t="s">
        <v>40</v>
      </c>
      <c r="M36" s="1" t="s">
        <v>41</v>
      </c>
      <c r="N36" s="1" t="s">
        <v>42</v>
      </c>
      <c r="O36" s="1" t="n">
        <v>2000</v>
      </c>
      <c r="P36" s="1" t="s">
        <v>43</v>
      </c>
      <c r="Q36" s="1" t="s">
        <v>87</v>
      </c>
      <c r="R36" s="1"/>
      <c r="S36" s="1"/>
      <c r="T36" s="1"/>
      <c r="U36" s="1"/>
      <c r="V36" s="1"/>
      <c r="W36" s="1" t="s">
        <v>45</v>
      </c>
      <c r="X36" s="1" t="s">
        <v>46</v>
      </c>
      <c r="Y36" s="3" t="n">
        <v>44502</v>
      </c>
      <c r="Z36" s="1" t="s">
        <v>47</v>
      </c>
      <c r="AA36" s="1"/>
      <c r="AB36" s="1" t="n">
        <v>1</v>
      </c>
      <c r="AC36" s="1"/>
      <c r="AD36" s="1"/>
      <c r="AE36" s="3"/>
      <c r="AF36" s="1"/>
      <c r="AG36" s="1"/>
    </row>
    <row r="37" s="5" customFormat="true" ht="12.75" hidden="false" customHeight="true" outlineLevel="0" collapsed="false">
      <c r="A37" s="1" t="n">
        <v>36</v>
      </c>
      <c r="B37" s="2" t="n">
        <v>1.036</v>
      </c>
      <c r="C37" s="1" t="n">
        <v>1</v>
      </c>
      <c r="D37" s="1" t="s">
        <v>34</v>
      </c>
      <c r="E37" s="1" t="s">
        <v>35</v>
      </c>
      <c r="F37" s="1" t="s">
        <v>36</v>
      </c>
      <c r="G37" s="1" t="s">
        <v>37</v>
      </c>
      <c r="H37" s="1" t="s">
        <v>35</v>
      </c>
      <c r="I37" s="1" t="s">
        <v>35</v>
      </c>
      <c r="J37" s="1" t="s">
        <v>90</v>
      </c>
      <c r="K37" s="1" t="s">
        <v>39</v>
      </c>
      <c r="L37" s="1" t="s">
        <v>40</v>
      </c>
      <c r="M37" s="1" t="s">
        <v>41</v>
      </c>
      <c r="N37" s="1" t="s">
        <v>42</v>
      </c>
      <c r="O37" s="1" t="n">
        <v>2000</v>
      </c>
      <c r="P37" s="1" t="s">
        <v>43</v>
      </c>
      <c r="Q37" s="1" t="s">
        <v>91</v>
      </c>
      <c r="R37" s="1"/>
      <c r="S37" s="1"/>
      <c r="T37" s="1"/>
      <c r="U37" s="1"/>
      <c r="V37" s="1"/>
      <c r="W37" s="1" t="s">
        <v>45</v>
      </c>
      <c r="X37" s="1" t="s">
        <v>46</v>
      </c>
      <c r="Y37" s="3" t="n">
        <v>44502</v>
      </c>
      <c r="Z37" s="1" t="s">
        <v>47</v>
      </c>
      <c r="AA37" s="1"/>
      <c r="AB37" s="1" t="n">
        <v>1</v>
      </c>
      <c r="AC37" s="1"/>
      <c r="AD37" s="1"/>
      <c r="AE37" s="3"/>
      <c r="AF37" s="1"/>
      <c r="AG37" s="1"/>
    </row>
    <row r="38" s="5" customFormat="true" ht="12.75" hidden="false" customHeight="true" outlineLevel="0" collapsed="false">
      <c r="A38" s="1" t="n">
        <v>37</v>
      </c>
      <c r="B38" s="2" t="n">
        <v>1.037</v>
      </c>
      <c r="C38" s="1" t="n">
        <v>1</v>
      </c>
      <c r="D38" s="1" t="s">
        <v>34</v>
      </c>
      <c r="E38" s="1" t="s">
        <v>35</v>
      </c>
      <c r="F38" s="1" t="s">
        <v>36</v>
      </c>
      <c r="G38" s="1" t="s">
        <v>37</v>
      </c>
      <c r="H38" s="1" t="s">
        <v>35</v>
      </c>
      <c r="I38" s="1" t="s">
        <v>35</v>
      </c>
      <c r="J38" s="1" t="s">
        <v>92</v>
      </c>
      <c r="K38" s="1" t="s">
        <v>52</v>
      </c>
      <c r="L38" s="1" t="s">
        <v>40</v>
      </c>
      <c r="M38" s="1" t="s">
        <v>41</v>
      </c>
      <c r="N38" s="1" t="s">
        <v>42</v>
      </c>
      <c r="O38" s="1" t="n">
        <v>2000</v>
      </c>
      <c r="P38" s="1" t="s">
        <v>43</v>
      </c>
      <c r="Q38" s="1" t="s">
        <v>91</v>
      </c>
      <c r="R38" s="1"/>
      <c r="S38" s="1"/>
      <c r="T38" s="1"/>
      <c r="U38" s="1"/>
      <c r="V38" s="1"/>
      <c r="W38" s="1" t="s">
        <v>45</v>
      </c>
      <c r="X38" s="1" t="s">
        <v>46</v>
      </c>
      <c r="Y38" s="3" t="n">
        <v>44502</v>
      </c>
      <c r="Z38" s="1" t="s">
        <v>47</v>
      </c>
      <c r="AA38" s="1"/>
      <c r="AB38" s="1" t="n">
        <v>1</v>
      </c>
      <c r="AC38" s="1"/>
      <c r="AD38" s="1"/>
      <c r="AE38" s="3"/>
      <c r="AF38" s="1"/>
      <c r="AG38" s="1"/>
    </row>
    <row r="39" s="5" customFormat="true" ht="12.75" hidden="false" customHeight="true" outlineLevel="0" collapsed="false">
      <c r="A39" s="1" t="n">
        <v>38</v>
      </c>
      <c r="B39" s="2" t="n">
        <v>1.038</v>
      </c>
      <c r="C39" s="1" t="n">
        <v>1</v>
      </c>
      <c r="D39" s="1" t="s">
        <v>34</v>
      </c>
      <c r="E39" s="1" t="s">
        <v>35</v>
      </c>
      <c r="F39" s="1" t="s">
        <v>36</v>
      </c>
      <c r="G39" s="1" t="s">
        <v>37</v>
      </c>
      <c r="H39" s="1" t="s">
        <v>35</v>
      </c>
      <c r="I39" s="1" t="s">
        <v>35</v>
      </c>
      <c r="J39" s="1" t="s">
        <v>93</v>
      </c>
      <c r="K39" s="1" t="s">
        <v>39</v>
      </c>
      <c r="L39" s="1" t="s">
        <v>40</v>
      </c>
      <c r="M39" s="1" t="s">
        <v>41</v>
      </c>
      <c r="N39" s="1" t="s">
        <v>42</v>
      </c>
      <c r="O39" s="1" t="n">
        <v>2000</v>
      </c>
      <c r="P39" s="1" t="s">
        <v>43</v>
      </c>
      <c r="Q39" s="1" t="s">
        <v>91</v>
      </c>
      <c r="R39" s="1"/>
      <c r="S39" s="1"/>
      <c r="T39" s="1"/>
      <c r="U39" s="1"/>
      <c r="V39" s="1"/>
      <c r="W39" s="1" t="s">
        <v>45</v>
      </c>
      <c r="X39" s="1" t="s">
        <v>46</v>
      </c>
      <c r="Y39" s="3" t="n">
        <v>44502</v>
      </c>
      <c r="Z39" s="1" t="s">
        <v>47</v>
      </c>
      <c r="AA39" s="1"/>
      <c r="AB39" s="1" t="n">
        <v>1</v>
      </c>
      <c r="AC39" s="1"/>
      <c r="AD39" s="1"/>
      <c r="AE39" s="3"/>
      <c r="AF39" s="1"/>
      <c r="AG39" s="1"/>
    </row>
    <row r="40" s="5" customFormat="true" ht="12.75" hidden="false" customHeight="true" outlineLevel="0" collapsed="false">
      <c r="A40" s="1" t="n">
        <v>39</v>
      </c>
      <c r="B40" s="2" t="n">
        <v>1.039</v>
      </c>
      <c r="C40" s="1" t="n">
        <v>1</v>
      </c>
      <c r="D40" s="1" t="s">
        <v>34</v>
      </c>
      <c r="E40" s="1" t="s">
        <v>35</v>
      </c>
      <c r="F40" s="1" t="s">
        <v>36</v>
      </c>
      <c r="G40" s="1" t="s">
        <v>37</v>
      </c>
      <c r="H40" s="1" t="s">
        <v>35</v>
      </c>
      <c r="I40" s="1" t="s">
        <v>35</v>
      </c>
      <c r="J40" s="1" t="s">
        <v>94</v>
      </c>
      <c r="K40" s="1" t="s">
        <v>39</v>
      </c>
      <c r="L40" s="1" t="s">
        <v>40</v>
      </c>
      <c r="M40" s="1" t="s">
        <v>41</v>
      </c>
      <c r="N40" s="1" t="s">
        <v>42</v>
      </c>
      <c r="O40" s="1" t="n">
        <v>2000</v>
      </c>
      <c r="P40" s="1" t="s">
        <v>43</v>
      </c>
      <c r="Q40" s="1" t="s">
        <v>91</v>
      </c>
      <c r="R40" s="1"/>
      <c r="S40" s="1"/>
      <c r="T40" s="1"/>
      <c r="U40" s="1"/>
      <c r="V40" s="1"/>
      <c r="W40" s="1" t="s">
        <v>45</v>
      </c>
      <c r="X40" s="1" t="s">
        <v>46</v>
      </c>
      <c r="Y40" s="3" t="n">
        <v>44502</v>
      </c>
      <c r="Z40" s="1" t="s">
        <v>47</v>
      </c>
      <c r="AA40" s="1"/>
      <c r="AB40" s="1" t="n">
        <v>1</v>
      </c>
      <c r="AC40" s="1"/>
      <c r="AD40" s="1"/>
      <c r="AE40" s="3"/>
      <c r="AF40" s="1"/>
      <c r="AG40" s="1"/>
    </row>
    <row r="41" s="5" customFormat="true" ht="12.75" hidden="false" customHeight="true" outlineLevel="0" collapsed="false">
      <c r="A41" s="1" t="n">
        <v>40</v>
      </c>
      <c r="B41" s="2" t="n">
        <v>1.04</v>
      </c>
      <c r="C41" s="1" t="n">
        <v>1</v>
      </c>
      <c r="D41" s="1" t="s">
        <v>34</v>
      </c>
      <c r="E41" s="1" t="s">
        <v>35</v>
      </c>
      <c r="F41" s="1" t="s">
        <v>36</v>
      </c>
      <c r="G41" s="1" t="s">
        <v>37</v>
      </c>
      <c r="H41" s="1" t="s">
        <v>35</v>
      </c>
      <c r="I41" s="1" t="s">
        <v>35</v>
      </c>
      <c r="J41" s="1" t="s">
        <v>95</v>
      </c>
      <c r="K41" s="1" t="s">
        <v>52</v>
      </c>
      <c r="L41" s="1" t="s">
        <v>40</v>
      </c>
      <c r="M41" s="1" t="s">
        <v>41</v>
      </c>
      <c r="N41" s="1" t="s">
        <v>42</v>
      </c>
      <c r="O41" s="1" t="n">
        <v>2000</v>
      </c>
      <c r="P41" s="1" t="s">
        <v>43</v>
      </c>
      <c r="Q41" s="1" t="s">
        <v>91</v>
      </c>
      <c r="R41" s="1"/>
      <c r="S41" s="1"/>
      <c r="T41" s="1"/>
      <c r="U41" s="1"/>
      <c r="V41" s="1"/>
      <c r="W41" s="1" t="s">
        <v>45</v>
      </c>
      <c r="X41" s="1" t="s">
        <v>46</v>
      </c>
      <c r="Y41" s="3" t="n">
        <v>44502</v>
      </c>
      <c r="Z41" s="1" t="s">
        <v>47</v>
      </c>
      <c r="AA41" s="1"/>
      <c r="AB41" s="1" t="n">
        <v>1</v>
      </c>
      <c r="AC41" s="1"/>
      <c r="AD41" s="1"/>
      <c r="AE41" s="3"/>
      <c r="AF41" s="1"/>
      <c r="AG41" s="1"/>
    </row>
    <row r="42" s="5" customFormat="true" ht="12.75" hidden="false" customHeight="true" outlineLevel="0" collapsed="false">
      <c r="A42" s="1" t="n">
        <v>41</v>
      </c>
      <c r="B42" s="2" t="n">
        <v>1.041</v>
      </c>
      <c r="C42" s="1" t="n">
        <v>1</v>
      </c>
      <c r="D42" s="1" t="s">
        <v>34</v>
      </c>
      <c r="E42" s="1" t="s">
        <v>35</v>
      </c>
      <c r="F42" s="1" t="s">
        <v>36</v>
      </c>
      <c r="G42" s="1" t="s">
        <v>37</v>
      </c>
      <c r="H42" s="1" t="s">
        <v>35</v>
      </c>
      <c r="I42" s="1" t="s">
        <v>35</v>
      </c>
      <c r="J42" s="1" t="s">
        <v>96</v>
      </c>
      <c r="K42" s="1" t="s">
        <v>52</v>
      </c>
      <c r="L42" s="1" t="s">
        <v>40</v>
      </c>
      <c r="M42" s="1" t="s">
        <v>41</v>
      </c>
      <c r="N42" s="1" t="s">
        <v>42</v>
      </c>
      <c r="O42" s="1" t="n">
        <v>2000</v>
      </c>
      <c r="P42" s="1" t="s">
        <v>43</v>
      </c>
      <c r="Q42" s="1" t="s">
        <v>91</v>
      </c>
      <c r="R42" s="1"/>
      <c r="S42" s="1"/>
      <c r="T42" s="1"/>
      <c r="U42" s="1"/>
      <c r="V42" s="1"/>
      <c r="W42" s="1" t="s">
        <v>45</v>
      </c>
      <c r="X42" s="1" t="s">
        <v>46</v>
      </c>
      <c r="Y42" s="3" t="n">
        <v>44502</v>
      </c>
      <c r="Z42" s="1" t="s">
        <v>47</v>
      </c>
      <c r="AA42" s="1"/>
      <c r="AB42" s="1" t="n">
        <v>1</v>
      </c>
      <c r="AC42" s="1"/>
      <c r="AD42" s="1"/>
      <c r="AE42" s="3"/>
      <c r="AF42" s="1"/>
      <c r="AG42" s="1"/>
    </row>
    <row r="43" s="5" customFormat="true" ht="12.75" hidden="false" customHeight="true" outlineLevel="0" collapsed="false">
      <c r="A43" s="1" t="n">
        <v>42</v>
      </c>
      <c r="B43" s="2" t="n">
        <v>1.042</v>
      </c>
      <c r="C43" s="1" t="n">
        <v>1</v>
      </c>
      <c r="D43" s="1" t="s">
        <v>34</v>
      </c>
      <c r="E43" s="1" t="s">
        <v>35</v>
      </c>
      <c r="F43" s="1" t="s">
        <v>36</v>
      </c>
      <c r="G43" s="1" t="s">
        <v>37</v>
      </c>
      <c r="H43" s="1" t="s">
        <v>35</v>
      </c>
      <c r="I43" s="1" t="s">
        <v>35</v>
      </c>
      <c r="J43" s="1" t="s">
        <v>97</v>
      </c>
      <c r="K43" s="1" t="s">
        <v>52</v>
      </c>
      <c r="L43" s="1" t="s">
        <v>40</v>
      </c>
      <c r="M43" s="1" t="s">
        <v>41</v>
      </c>
      <c r="N43" s="1" t="s">
        <v>42</v>
      </c>
      <c r="O43" s="1" t="n">
        <v>2000</v>
      </c>
      <c r="P43" s="1" t="s">
        <v>43</v>
      </c>
      <c r="Q43" s="1" t="s">
        <v>91</v>
      </c>
      <c r="R43" s="1"/>
      <c r="S43" s="1"/>
      <c r="T43" s="1"/>
      <c r="U43" s="1"/>
      <c r="V43" s="1"/>
      <c r="W43" s="1" t="s">
        <v>45</v>
      </c>
      <c r="X43" s="1" t="s">
        <v>46</v>
      </c>
      <c r="Y43" s="3" t="n">
        <v>44502</v>
      </c>
      <c r="Z43" s="1" t="s">
        <v>47</v>
      </c>
      <c r="AA43" s="1"/>
      <c r="AB43" s="1" t="n">
        <v>1</v>
      </c>
      <c r="AC43" s="1"/>
      <c r="AD43" s="1"/>
      <c r="AE43" s="3"/>
      <c r="AF43" s="1"/>
      <c r="AG43" s="1"/>
    </row>
    <row r="44" s="5" customFormat="true" ht="12.75" hidden="false" customHeight="true" outlineLevel="0" collapsed="false">
      <c r="A44" s="1" t="n">
        <v>43</v>
      </c>
      <c r="B44" s="2" t="n">
        <v>1.043</v>
      </c>
      <c r="C44" s="1" t="n">
        <v>1</v>
      </c>
      <c r="D44" s="1" t="s">
        <v>34</v>
      </c>
      <c r="E44" s="1" t="s">
        <v>35</v>
      </c>
      <c r="F44" s="1" t="s">
        <v>36</v>
      </c>
      <c r="G44" s="1" t="s">
        <v>37</v>
      </c>
      <c r="H44" s="1" t="s">
        <v>35</v>
      </c>
      <c r="I44" s="1" t="s">
        <v>35</v>
      </c>
      <c r="J44" s="1" t="s">
        <v>98</v>
      </c>
      <c r="K44" s="1" t="s">
        <v>39</v>
      </c>
      <c r="L44" s="1" t="s">
        <v>40</v>
      </c>
      <c r="M44" s="1" t="s">
        <v>41</v>
      </c>
      <c r="N44" s="1" t="s">
        <v>42</v>
      </c>
      <c r="O44" s="1" t="n">
        <v>2000</v>
      </c>
      <c r="P44" s="1" t="s">
        <v>43</v>
      </c>
      <c r="Q44" s="1" t="s">
        <v>87</v>
      </c>
      <c r="R44" s="1"/>
      <c r="S44" s="1"/>
      <c r="T44" s="1"/>
      <c r="U44" s="1"/>
      <c r="V44" s="1"/>
      <c r="W44" s="1" t="s">
        <v>45</v>
      </c>
      <c r="X44" s="1" t="s">
        <v>46</v>
      </c>
      <c r="Y44" s="3" t="n">
        <v>44502</v>
      </c>
      <c r="Z44" s="1" t="s">
        <v>47</v>
      </c>
      <c r="AA44" s="1"/>
      <c r="AB44" s="1" t="n">
        <v>1</v>
      </c>
      <c r="AC44" s="1"/>
      <c r="AD44" s="1"/>
      <c r="AE44" s="3"/>
      <c r="AF44" s="1"/>
      <c r="AG44" s="1"/>
    </row>
    <row r="45" s="5" customFormat="true" ht="12.75" hidden="false" customHeight="true" outlineLevel="0" collapsed="false">
      <c r="A45" s="1" t="n">
        <v>44</v>
      </c>
      <c r="B45" s="2" t="n">
        <v>1.044</v>
      </c>
      <c r="C45" s="1" t="n">
        <v>1</v>
      </c>
      <c r="D45" s="1" t="s">
        <v>34</v>
      </c>
      <c r="E45" s="1" t="s">
        <v>35</v>
      </c>
      <c r="F45" s="1" t="s">
        <v>36</v>
      </c>
      <c r="G45" s="1" t="s">
        <v>37</v>
      </c>
      <c r="H45" s="1" t="s">
        <v>35</v>
      </c>
      <c r="I45" s="1" t="s">
        <v>35</v>
      </c>
      <c r="J45" s="1" t="s">
        <v>99</v>
      </c>
      <c r="K45" s="1" t="s">
        <v>39</v>
      </c>
      <c r="L45" s="1" t="s">
        <v>40</v>
      </c>
      <c r="M45" s="1" t="s">
        <v>41</v>
      </c>
      <c r="N45" s="1" t="s">
        <v>42</v>
      </c>
      <c r="O45" s="1" t="n">
        <v>2000</v>
      </c>
      <c r="P45" s="1" t="s">
        <v>43</v>
      </c>
      <c r="Q45" s="1" t="s">
        <v>87</v>
      </c>
      <c r="R45" s="1"/>
      <c r="S45" s="1"/>
      <c r="T45" s="1"/>
      <c r="U45" s="1"/>
      <c r="V45" s="1"/>
      <c r="W45" s="1" t="s">
        <v>45</v>
      </c>
      <c r="X45" s="1" t="s">
        <v>46</v>
      </c>
      <c r="Y45" s="3" t="n">
        <v>44502</v>
      </c>
      <c r="Z45" s="1" t="s">
        <v>47</v>
      </c>
      <c r="AA45" s="1"/>
      <c r="AB45" s="1" t="n">
        <v>1</v>
      </c>
      <c r="AC45" s="1"/>
      <c r="AD45" s="1"/>
      <c r="AE45" s="3"/>
      <c r="AF45" s="1"/>
      <c r="AG45" s="1"/>
    </row>
    <row r="46" s="5" customFormat="true" ht="12.75" hidden="false" customHeight="true" outlineLevel="0" collapsed="false">
      <c r="A46" s="1" t="n">
        <v>45</v>
      </c>
      <c r="B46" s="2" t="n">
        <v>1.045</v>
      </c>
      <c r="C46" s="1" t="n">
        <v>1</v>
      </c>
      <c r="D46" s="1" t="s">
        <v>34</v>
      </c>
      <c r="E46" s="1" t="s">
        <v>35</v>
      </c>
      <c r="F46" s="1" t="s">
        <v>36</v>
      </c>
      <c r="G46" s="1" t="s">
        <v>100</v>
      </c>
      <c r="H46" s="1" t="s">
        <v>35</v>
      </c>
      <c r="I46" s="1" t="s">
        <v>35</v>
      </c>
      <c r="J46" s="1" t="s">
        <v>101</v>
      </c>
      <c r="K46" s="1" t="s">
        <v>39</v>
      </c>
      <c r="L46" s="1" t="s">
        <v>40</v>
      </c>
      <c r="M46" s="1" t="s">
        <v>41</v>
      </c>
      <c r="N46" s="1" t="s">
        <v>42</v>
      </c>
      <c r="O46" s="1" t="n">
        <v>2000</v>
      </c>
      <c r="P46" s="1" t="s">
        <v>43</v>
      </c>
      <c r="Q46" s="1" t="s">
        <v>91</v>
      </c>
      <c r="R46" s="1"/>
      <c r="S46" s="1"/>
      <c r="T46" s="1"/>
      <c r="U46" s="1"/>
      <c r="V46" s="1"/>
      <c r="W46" s="1" t="s">
        <v>45</v>
      </c>
      <c r="X46" s="1" t="s">
        <v>46</v>
      </c>
      <c r="Y46" s="3" t="n">
        <v>44502</v>
      </c>
      <c r="Z46" s="1" t="s">
        <v>47</v>
      </c>
      <c r="AA46" s="1"/>
      <c r="AB46" s="1" t="n">
        <v>1</v>
      </c>
      <c r="AC46" s="1"/>
      <c r="AD46" s="1"/>
      <c r="AE46" s="3"/>
      <c r="AF46" s="1"/>
      <c r="AG46" s="1"/>
    </row>
    <row r="47" s="5" customFormat="true" ht="12.75" hidden="false" customHeight="true" outlineLevel="0" collapsed="false">
      <c r="A47" s="1" t="n">
        <v>46</v>
      </c>
      <c r="B47" s="2" t="n">
        <v>1.046</v>
      </c>
      <c r="C47" s="1" t="n">
        <v>1</v>
      </c>
      <c r="D47" s="1" t="s">
        <v>34</v>
      </c>
      <c r="E47" s="1" t="s">
        <v>35</v>
      </c>
      <c r="F47" s="1" t="s">
        <v>36</v>
      </c>
      <c r="G47" s="1" t="s">
        <v>100</v>
      </c>
      <c r="H47" s="1" t="s">
        <v>35</v>
      </c>
      <c r="I47" s="1" t="s">
        <v>35</v>
      </c>
      <c r="J47" s="1" t="s">
        <v>102</v>
      </c>
      <c r="K47" s="1" t="s">
        <v>39</v>
      </c>
      <c r="L47" s="1" t="s">
        <v>40</v>
      </c>
      <c r="M47" s="1" t="s">
        <v>41</v>
      </c>
      <c r="N47" s="1" t="s">
        <v>42</v>
      </c>
      <c r="O47" s="1" t="n">
        <v>2000</v>
      </c>
      <c r="P47" s="1" t="s">
        <v>43</v>
      </c>
      <c r="Q47" s="1" t="s">
        <v>87</v>
      </c>
      <c r="R47" s="1"/>
      <c r="S47" s="1"/>
      <c r="T47" s="1"/>
      <c r="U47" s="1"/>
      <c r="V47" s="1"/>
      <c r="W47" s="1" t="s">
        <v>45</v>
      </c>
      <c r="X47" s="1" t="s">
        <v>46</v>
      </c>
      <c r="Y47" s="3" t="n">
        <v>44502</v>
      </c>
      <c r="Z47" s="1" t="s">
        <v>47</v>
      </c>
      <c r="AA47" s="1"/>
      <c r="AB47" s="1" t="n">
        <v>1</v>
      </c>
      <c r="AC47" s="1"/>
      <c r="AD47" s="1"/>
      <c r="AE47" s="3"/>
      <c r="AF47" s="1"/>
      <c r="AG47" s="1"/>
    </row>
    <row r="48" s="5" customFormat="true" ht="12.75" hidden="false" customHeight="true" outlineLevel="0" collapsed="false">
      <c r="A48" s="1" t="n">
        <v>47</v>
      </c>
      <c r="B48" s="2" t="n">
        <v>1.04700000000001</v>
      </c>
      <c r="C48" s="1" t="n">
        <v>1</v>
      </c>
      <c r="D48" s="1" t="s">
        <v>34</v>
      </c>
      <c r="E48" s="1" t="s">
        <v>35</v>
      </c>
      <c r="F48" s="1" t="s">
        <v>36</v>
      </c>
      <c r="G48" s="1" t="s">
        <v>100</v>
      </c>
      <c r="H48" s="1" t="s">
        <v>35</v>
      </c>
      <c r="I48" s="1" t="s">
        <v>35</v>
      </c>
      <c r="J48" s="1" t="s">
        <v>103</v>
      </c>
      <c r="K48" s="1" t="s">
        <v>39</v>
      </c>
      <c r="L48" s="1" t="s">
        <v>40</v>
      </c>
      <c r="M48" s="1" t="s">
        <v>41</v>
      </c>
      <c r="N48" s="1" t="s">
        <v>42</v>
      </c>
      <c r="O48" s="1" t="n">
        <v>2000</v>
      </c>
      <c r="P48" s="1" t="s">
        <v>43</v>
      </c>
      <c r="Q48" s="1" t="s">
        <v>66</v>
      </c>
      <c r="R48" s="1"/>
      <c r="S48" s="1"/>
      <c r="T48" s="1"/>
      <c r="U48" s="1"/>
      <c r="V48" s="1"/>
      <c r="W48" s="1" t="s">
        <v>45</v>
      </c>
      <c r="X48" s="1" t="s">
        <v>46</v>
      </c>
      <c r="Y48" s="3" t="n">
        <v>44502</v>
      </c>
      <c r="Z48" s="1" t="s">
        <v>47</v>
      </c>
      <c r="AA48" s="1"/>
      <c r="AB48" s="1" t="n">
        <v>1</v>
      </c>
      <c r="AC48" s="1"/>
      <c r="AD48" s="1"/>
      <c r="AE48" s="3"/>
      <c r="AF48" s="1"/>
      <c r="AG48" s="1"/>
    </row>
    <row r="49" s="5" customFormat="true" ht="12.75" hidden="false" customHeight="true" outlineLevel="0" collapsed="false">
      <c r="A49" s="1" t="n">
        <v>48</v>
      </c>
      <c r="B49" s="2" t="n">
        <v>1.04800000000001</v>
      </c>
      <c r="C49" s="1" t="n">
        <v>1</v>
      </c>
      <c r="D49" s="1" t="s">
        <v>34</v>
      </c>
      <c r="E49" s="1" t="s">
        <v>35</v>
      </c>
      <c r="F49" s="1" t="s">
        <v>36</v>
      </c>
      <c r="G49" s="1" t="s">
        <v>100</v>
      </c>
      <c r="H49" s="1" t="s">
        <v>35</v>
      </c>
      <c r="I49" s="1" t="s">
        <v>35</v>
      </c>
      <c r="J49" s="1" t="s">
        <v>104</v>
      </c>
      <c r="K49" s="1" t="s">
        <v>39</v>
      </c>
      <c r="L49" s="1" t="s">
        <v>40</v>
      </c>
      <c r="M49" s="1" t="s">
        <v>41</v>
      </c>
      <c r="N49" s="1" t="s">
        <v>42</v>
      </c>
      <c r="O49" s="1" t="n">
        <v>2000</v>
      </c>
      <c r="P49" s="1" t="s">
        <v>43</v>
      </c>
      <c r="Q49" s="1" t="s">
        <v>66</v>
      </c>
      <c r="R49" s="1"/>
      <c r="S49" s="1"/>
      <c r="T49" s="1"/>
      <c r="U49" s="1"/>
      <c r="V49" s="1"/>
      <c r="W49" s="1" t="s">
        <v>45</v>
      </c>
      <c r="X49" s="1" t="s">
        <v>46</v>
      </c>
      <c r="Y49" s="3" t="n">
        <v>44502</v>
      </c>
      <c r="Z49" s="1" t="s">
        <v>47</v>
      </c>
      <c r="AA49" s="1"/>
      <c r="AB49" s="1" t="n">
        <v>1</v>
      </c>
      <c r="AC49" s="1"/>
      <c r="AD49" s="1"/>
      <c r="AE49" s="3"/>
      <c r="AF49" s="1"/>
      <c r="AG49" s="1"/>
    </row>
    <row r="50" s="5" customFormat="true" ht="12.75" hidden="false" customHeight="true" outlineLevel="0" collapsed="false">
      <c r="A50" s="1" t="n">
        <v>49</v>
      </c>
      <c r="B50" s="2" t="n">
        <v>1.04900000000001</v>
      </c>
      <c r="C50" s="1" t="n">
        <v>1</v>
      </c>
      <c r="D50" s="1" t="s">
        <v>34</v>
      </c>
      <c r="E50" s="1" t="s">
        <v>35</v>
      </c>
      <c r="F50" s="1" t="s">
        <v>36</v>
      </c>
      <c r="G50" s="1" t="s">
        <v>100</v>
      </c>
      <c r="H50" s="1" t="s">
        <v>35</v>
      </c>
      <c r="I50" s="1" t="s">
        <v>35</v>
      </c>
      <c r="J50" s="1" t="s">
        <v>105</v>
      </c>
      <c r="K50" s="1" t="s">
        <v>39</v>
      </c>
      <c r="L50" s="1" t="s">
        <v>40</v>
      </c>
      <c r="M50" s="1" t="s">
        <v>41</v>
      </c>
      <c r="N50" s="1" t="s">
        <v>42</v>
      </c>
      <c r="O50" s="1" t="n">
        <v>2000</v>
      </c>
      <c r="P50" s="1" t="s">
        <v>43</v>
      </c>
      <c r="Q50" s="1" t="s">
        <v>66</v>
      </c>
      <c r="R50" s="1"/>
      <c r="S50" s="1"/>
      <c r="T50" s="1"/>
      <c r="U50" s="1"/>
      <c r="V50" s="1"/>
      <c r="W50" s="1" t="s">
        <v>45</v>
      </c>
      <c r="X50" s="1" t="s">
        <v>46</v>
      </c>
      <c r="Y50" s="3" t="n">
        <v>44502</v>
      </c>
      <c r="Z50" s="1" t="s">
        <v>47</v>
      </c>
      <c r="AA50" s="1"/>
      <c r="AB50" s="1" t="n">
        <v>1</v>
      </c>
      <c r="AC50" s="1"/>
      <c r="AD50" s="1"/>
      <c r="AE50" s="3"/>
      <c r="AF50" s="1"/>
      <c r="AG50" s="1"/>
    </row>
    <row r="51" s="5" customFormat="true" ht="12.75" hidden="false" customHeight="true" outlineLevel="0" collapsed="false">
      <c r="A51" s="1" t="n">
        <v>50</v>
      </c>
      <c r="B51" s="2" t="n">
        <v>1.05000000000001</v>
      </c>
      <c r="C51" s="1" t="n">
        <v>1</v>
      </c>
      <c r="D51" s="1" t="s">
        <v>34</v>
      </c>
      <c r="E51" s="1" t="s">
        <v>35</v>
      </c>
      <c r="F51" s="1" t="s">
        <v>36</v>
      </c>
      <c r="G51" s="1" t="s">
        <v>100</v>
      </c>
      <c r="H51" s="1" t="s">
        <v>35</v>
      </c>
      <c r="I51" s="1" t="s">
        <v>35</v>
      </c>
      <c r="J51" s="1" t="s">
        <v>106</v>
      </c>
      <c r="K51" s="1" t="s">
        <v>39</v>
      </c>
      <c r="L51" s="1" t="s">
        <v>40</v>
      </c>
      <c r="M51" s="1" t="s">
        <v>41</v>
      </c>
      <c r="N51" s="1" t="s">
        <v>42</v>
      </c>
      <c r="O51" s="1" t="n">
        <v>2000</v>
      </c>
      <c r="P51" s="1" t="s">
        <v>43</v>
      </c>
      <c r="Q51" s="1" t="s">
        <v>66</v>
      </c>
      <c r="R51" s="1"/>
      <c r="S51" s="1"/>
      <c r="T51" s="1"/>
      <c r="U51" s="1"/>
      <c r="V51" s="1"/>
      <c r="W51" s="1" t="s">
        <v>45</v>
      </c>
      <c r="X51" s="1" t="s">
        <v>46</v>
      </c>
      <c r="Y51" s="3" t="n">
        <v>44502</v>
      </c>
      <c r="Z51" s="1" t="s">
        <v>47</v>
      </c>
      <c r="AA51" s="1"/>
      <c r="AB51" s="1" t="n">
        <v>1</v>
      </c>
      <c r="AC51" s="1"/>
      <c r="AD51" s="1"/>
      <c r="AE51" s="3"/>
      <c r="AF51" s="1"/>
      <c r="AG51" s="1"/>
    </row>
    <row r="52" s="5" customFormat="true" ht="12.75" hidden="false" customHeight="true" outlineLevel="0" collapsed="false">
      <c r="A52" s="1" t="n">
        <v>51</v>
      </c>
      <c r="B52" s="2" t="n">
        <v>1.05100000000001</v>
      </c>
      <c r="C52" s="1" t="n">
        <v>1</v>
      </c>
      <c r="D52" s="1" t="s">
        <v>34</v>
      </c>
      <c r="E52" s="1" t="s">
        <v>35</v>
      </c>
      <c r="F52" s="1" t="s">
        <v>36</v>
      </c>
      <c r="G52" s="1" t="s">
        <v>100</v>
      </c>
      <c r="H52" s="1" t="s">
        <v>35</v>
      </c>
      <c r="I52" s="1" t="s">
        <v>35</v>
      </c>
      <c r="J52" s="1" t="s">
        <v>107</v>
      </c>
      <c r="K52" s="1" t="s">
        <v>39</v>
      </c>
      <c r="L52" s="1" t="s">
        <v>40</v>
      </c>
      <c r="M52" s="1" t="s">
        <v>41</v>
      </c>
      <c r="N52" s="1" t="s">
        <v>42</v>
      </c>
      <c r="O52" s="1" t="n">
        <v>2000</v>
      </c>
      <c r="P52" s="1" t="s">
        <v>43</v>
      </c>
      <c r="Q52" s="1" t="s">
        <v>66</v>
      </c>
      <c r="R52" s="1"/>
      <c r="S52" s="1"/>
      <c r="T52" s="1"/>
      <c r="U52" s="1"/>
      <c r="V52" s="1"/>
      <c r="W52" s="1" t="s">
        <v>45</v>
      </c>
      <c r="X52" s="1" t="s">
        <v>46</v>
      </c>
      <c r="Y52" s="3" t="n">
        <v>44502</v>
      </c>
      <c r="Z52" s="1" t="s">
        <v>47</v>
      </c>
      <c r="AA52" s="1"/>
      <c r="AB52" s="1" t="n">
        <v>1</v>
      </c>
      <c r="AC52" s="1"/>
      <c r="AD52" s="1"/>
      <c r="AE52" s="3"/>
      <c r="AF52" s="1"/>
      <c r="AG52" s="1"/>
    </row>
    <row r="53" s="5" customFormat="true" ht="12.75" hidden="false" customHeight="true" outlineLevel="0" collapsed="false">
      <c r="A53" s="1" t="n">
        <v>52</v>
      </c>
      <c r="B53" s="2" t="n">
        <v>1.05200000000001</v>
      </c>
      <c r="C53" s="1" t="n">
        <v>1</v>
      </c>
      <c r="D53" s="1" t="s">
        <v>34</v>
      </c>
      <c r="E53" s="1" t="s">
        <v>35</v>
      </c>
      <c r="F53" s="1" t="s">
        <v>36</v>
      </c>
      <c r="G53" s="1" t="s">
        <v>100</v>
      </c>
      <c r="H53" s="1" t="s">
        <v>35</v>
      </c>
      <c r="I53" s="1" t="s">
        <v>35</v>
      </c>
      <c r="J53" s="1" t="s">
        <v>108</v>
      </c>
      <c r="K53" s="1" t="s">
        <v>52</v>
      </c>
      <c r="L53" s="1" t="s">
        <v>40</v>
      </c>
      <c r="M53" s="1" t="s">
        <v>41</v>
      </c>
      <c r="N53" s="1" t="s">
        <v>42</v>
      </c>
      <c r="O53" s="1" t="n">
        <v>2000</v>
      </c>
      <c r="P53" s="1" t="s">
        <v>43</v>
      </c>
      <c r="Q53" s="1" t="s">
        <v>66</v>
      </c>
      <c r="R53" s="1"/>
      <c r="S53" s="1"/>
      <c r="T53" s="1"/>
      <c r="U53" s="1"/>
      <c r="V53" s="1"/>
      <c r="W53" s="1" t="s">
        <v>45</v>
      </c>
      <c r="X53" s="1" t="s">
        <v>46</v>
      </c>
      <c r="Y53" s="3" t="n">
        <v>44502</v>
      </c>
      <c r="Z53" s="1" t="s">
        <v>47</v>
      </c>
      <c r="AA53" s="1"/>
      <c r="AB53" s="1" t="n">
        <v>1</v>
      </c>
      <c r="AC53" s="1"/>
      <c r="AD53" s="1"/>
      <c r="AE53" s="3"/>
      <c r="AF53" s="1"/>
      <c r="AG53" s="1"/>
    </row>
    <row r="54" s="5" customFormat="true" ht="12.75" hidden="false" customHeight="true" outlineLevel="0" collapsed="false">
      <c r="A54" s="1" t="n">
        <v>53</v>
      </c>
      <c r="B54" s="2" t="n">
        <v>1.05300000000001</v>
      </c>
      <c r="C54" s="1" t="n">
        <v>1</v>
      </c>
      <c r="D54" s="1" t="s">
        <v>34</v>
      </c>
      <c r="E54" s="1" t="s">
        <v>35</v>
      </c>
      <c r="F54" s="1" t="s">
        <v>36</v>
      </c>
      <c r="G54" s="1" t="s">
        <v>100</v>
      </c>
      <c r="H54" s="1" t="s">
        <v>35</v>
      </c>
      <c r="I54" s="1" t="s">
        <v>35</v>
      </c>
      <c r="J54" s="1" t="s">
        <v>109</v>
      </c>
      <c r="K54" s="1" t="s">
        <v>52</v>
      </c>
      <c r="L54" s="1" t="s">
        <v>40</v>
      </c>
      <c r="M54" s="1" t="s">
        <v>41</v>
      </c>
      <c r="N54" s="1" t="s">
        <v>42</v>
      </c>
      <c r="O54" s="1" t="n">
        <v>2000</v>
      </c>
      <c r="P54" s="1" t="s">
        <v>43</v>
      </c>
      <c r="Q54" s="1" t="s">
        <v>66</v>
      </c>
      <c r="R54" s="1"/>
      <c r="S54" s="1"/>
      <c r="T54" s="1"/>
      <c r="U54" s="1"/>
      <c r="V54" s="1"/>
      <c r="W54" s="1" t="s">
        <v>45</v>
      </c>
      <c r="X54" s="1" t="s">
        <v>46</v>
      </c>
      <c r="Y54" s="3" t="n">
        <v>44502</v>
      </c>
      <c r="Z54" s="1" t="s">
        <v>47</v>
      </c>
      <c r="AA54" s="1"/>
      <c r="AB54" s="1" t="n">
        <v>1</v>
      </c>
      <c r="AC54" s="1"/>
      <c r="AD54" s="1"/>
      <c r="AE54" s="3"/>
      <c r="AF54" s="1"/>
      <c r="AG54" s="1"/>
    </row>
    <row r="55" s="5" customFormat="true" ht="12.75" hidden="false" customHeight="true" outlineLevel="0" collapsed="false">
      <c r="A55" s="1" t="n">
        <v>54</v>
      </c>
      <c r="B55" s="2" t="n">
        <v>1.05400000000001</v>
      </c>
      <c r="C55" s="1" t="n">
        <v>1</v>
      </c>
      <c r="D55" s="1" t="s">
        <v>34</v>
      </c>
      <c r="E55" s="1" t="s">
        <v>35</v>
      </c>
      <c r="F55" s="1" t="s">
        <v>36</v>
      </c>
      <c r="G55" s="1" t="s">
        <v>100</v>
      </c>
      <c r="H55" s="1" t="s">
        <v>35</v>
      </c>
      <c r="I55" s="1" t="s">
        <v>35</v>
      </c>
      <c r="J55" s="1" t="s">
        <v>110</v>
      </c>
      <c r="K55" s="1" t="s">
        <v>52</v>
      </c>
      <c r="L55" s="1" t="s">
        <v>40</v>
      </c>
      <c r="M55" s="1" t="s">
        <v>41</v>
      </c>
      <c r="N55" s="1" t="s">
        <v>42</v>
      </c>
      <c r="O55" s="1" t="n">
        <v>2000</v>
      </c>
      <c r="P55" s="1" t="s">
        <v>43</v>
      </c>
      <c r="Q55" s="1" t="s">
        <v>66</v>
      </c>
      <c r="R55" s="1"/>
      <c r="S55" s="1"/>
      <c r="T55" s="1"/>
      <c r="U55" s="1"/>
      <c r="V55" s="1"/>
      <c r="W55" s="1" t="s">
        <v>45</v>
      </c>
      <c r="X55" s="1" t="s">
        <v>46</v>
      </c>
      <c r="Y55" s="3" t="n">
        <v>44502</v>
      </c>
      <c r="Z55" s="1" t="s">
        <v>47</v>
      </c>
      <c r="AA55" s="1"/>
      <c r="AB55" s="1" t="n">
        <v>1</v>
      </c>
      <c r="AC55" s="1"/>
      <c r="AD55" s="1"/>
      <c r="AE55" s="3"/>
      <c r="AF55" s="1"/>
      <c r="AG55" s="1"/>
    </row>
    <row r="56" s="5" customFormat="true" ht="12.75" hidden="false" customHeight="true" outlineLevel="0" collapsed="false">
      <c r="A56" s="1" t="n">
        <v>55</v>
      </c>
      <c r="B56" s="2" t="n">
        <v>1.05500000000001</v>
      </c>
      <c r="C56" s="1" t="n">
        <v>1</v>
      </c>
      <c r="D56" s="1" t="s">
        <v>34</v>
      </c>
      <c r="E56" s="1" t="s">
        <v>35</v>
      </c>
      <c r="F56" s="1" t="s">
        <v>36</v>
      </c>
      <c r="G56" s="1" t="s">
        <v>100</v>
      </c>
      <c r="H56" s="1" t="s">
        <v>35</v>
      </c>
      <c r="I56" s="1" t="s">
        <v>35</v>
      </c>
      <c r="J56" s="1" t="s">
        <v>111</v>
      </c>
      <c r="K56" s="1" t="s">
        <v>39</v>
      </c>
      <c r="L56" s="1" t="s">
        <v>40</v>
      </c>
      <c r="M56" s="1" t="s">
        <v>41</v>
      </c>
      <c r="N56" s="1" t="s">
        <v>42</v>
      </c>
      <c r="O56" s="1" t="n">
        <v>2000</v>
      </c>
      <c r="P56" s="1" t="s">
        <v>43</v>
      </c>
      <c r="Q56" s="1" t="s">
        <v>66</v>
      </c>
      <c r="R56" s="1"/>
      <c r="S56" s="1"/>
      <c r="T56" s="1"/>
      <c r="U56" s="1"/>
      <c r="V56" s="1"/>
      <c r="W56" s="1" t="s">
        <v>45</v>
      </c>
      <c r="X56" s="1" t="s">
        <v>46</v>
      </c>
      <c r="Y56" s="3" t="n">
        <v>44502</v>
      </c>
      <c r="Z56" s="1" t="s">
        <v>47</v>
      </c>
      <c r="AA56" s="1"/>
      <c r="AB56" s="1" t="n">
        <v>1</v>
      </c>
      <c r="AC56" s="1"/>
      <c r="AD56" s="1"/>
      <c r="AE56" s="3"/>
      <c r="AF56" s="1"/>
      <c r="AG56" s="1"/>
    </row>
    <row r="57" s="5" customFormat="true" ht="12.75" hidden="false" customHeight="true" outlineLevel="0" collapsed="false">
      <c r="A57" s="1" t="n">
        <v>56</v>
      </c>
      <c r="B57" s="2" t="n">
        <v>1.05600000000001</v>
      </c>
      <c r="C57" s="1" t="n">
        <v>1</v>
      </c>
      <c r="D57" s="1" t="s">
        <v>34</v>
      </c>
      <c r="E57" s="1" t="s">
        <v>35</v>
      </c>
      <c r="F57" s="1" t="s">
        <v>36</v>
      </c>
      <c r="G57" s="1" t="s">
        <v>100</v>
      </c>
      <c r="H57" s="1" t="s">
        <v>35</v>
      </c>
      <c r="I57" s="1" t="s">
        <v>35</v>
      </c>
      <c r="J57" s="1" t="s">
        <v>112</v>
      </c>
      <c r="K57" s="1" t="s">
        <v>39</v>
      </c>
      <c r="L57" s="1" t="s">
        <v>40</v>
      </c>
      <c r="M57" s="1" t="s">
        <v>41</v>
      </c>
      <c r="N57" s="1" t="s">
        <v>42</v>
      </c>
      <c r="O57" s="1" t="n">
        <v>2000</v>
      </c>
      <c r="P57" s="1" t="s">
        <v>43</v>
      </c>
      <c r="Q57" s="1" t="s">
        <v>66</v>
      </c>
      <c r="R57" s="1"/>
      <c r="S57" s="1"/>
      <c r="T57" s="1"/>
      <c r="U57" s="1"/>
      <c r="V57" s="1"/>
      <c r="W57" s="1" t="s">
        <v>45</v>
      </c>
      <c r="X57" s="1" t="s">
        <v>46</v>
      </c>
      <c r="Y57" s="3" t="n">
        <v>44502</v>
      </c>
      <c r="Z57" s="1" t="s">
        <v>47</v>
      </c>
      <c r="AA57" s="1"/>
      <c r="AB57" s="1" t="n">
        <v>1</v>
      </c>
      <c r="AC57" s="1"/>
      <c r="AD57" s="1"/>
      <c r="AE57" s="3"/>
      <c r="AF57" s="1"/>
      <c r="AG57" s="1"/>
    </row>
    <row r="58" s="5" customFormat="true" ht="12.75" hidden="false" customHeight="true" outlineLevel="0" collapsed="false">
      <c r="A58" s="1" t="n">
        <v>57</v>
      </c>
      <c r="B58" s="2" t="n">
        <v>1.05700000000001</v>
      </c>
      <c r="C58" s="1" t="n">
        <v>1</v>
      </c>
      <c r="D58" s="1" t="s">
        <v>34</v>
      </c>
      <c r="E58" s="1" t="s">
        <v>35</v>
      </c>
      <c r="F58" s="1" t="s">
        <v>36</v>
      </c>
      <c r="G58" s="1" t="s">
        <v>100</v>
      </c>
      <c r="H58" s="1" t="s">
        <v>35</v>
      </c>
      <c r="I58" s="1" t="s">
        <v>35</v>
      </c>
      <c r="J58" s="1" t="s">
        <v>113</v>
      </c>
      <c r="K58" s="1" t="s">
        <v>39</v>
      </c>
      <c r="L58" s="1" t="s">
        <v>40</v>
      </c>
      <c r="M58" s="1" t="s">
        <v>41</v>
      </c>
      <c r="N58" s="1" t="s">
        <v>42</v>
      </c>
      <c r="O58" s="1" t="n">
        <v>2000</v>
      </c>
      <c r="P58" s="1" t="s">
        <v>43</v>
      </c>
      <c r="Q58" s="1" t="s">
        <v>66</v>
      </c>
      <c r="R58" s="1"/>
      <c r="S58" s="1"/>
      <c r="T58" s="1"/>
      <c r="U58" s="1"/>
      <c r="V58" s="1"/>
      <c r="W58" s="1" t="s">
        <v>45</v>
      </c>
      <c r="X58" s="1" t="s">
        <v>46</v>
      </c>
      <c r="Y58" s="3" t="n">
        <v>44502</v>
      </c>
      <c r="Z58" s="1" t="s">
        <v>47</v>
      </c>
      <c r="AA58" s="1"/>
      <c r="AB58" s="1" t="n">
        <v>1</v>
      </c>
      <c r="AC58" s="1"/>
      <c r="AD58" s="1"/>
      <c r="AE58" s="3"/>
      <c r="AF58" s="1"/>
      <c r="AG58" s="1"/>
    </row>
    <row r="59" s="5" customFormat="true" ht="12.75" hidden="false" customHeight="true" outlineLevel="0" collapsed="false">
      <c r="A59" s="1" t="n">
        <v>58</v>
      </c>
      <c r="B59" s="2" t="n">
        <v>1.05800000000001</v>
      </c>
      <c r="C59" s="1" t="n">
        <v>1</v>
      </c>
      <c r="D59" s="1" t="s">
        <v>34</v>
      </c>
      <c r="E59" s="1" t="s">
        <v>35</v>
      </c>
      <c r="F59" s="1" t="s">
        <v>36</v>
      </c>
      <c r="G59" s="1" t="s">
        <v>100</v>
      </c>
      <c r="H59" s="1" t="s">
        <v>35</v>
      </c>
      <c r="I59" s="1" t="s">
        <v>35</v>
      </c>
      <c r="J59" s="1" t="s">
        <v>114</v>
      </c>
      <c r="K59" s="1" t="s">
        <v>39</v>
      </c>
      <c r="L59" s="1" t="s">
        <v>40</v>
      </c>
      <c r="M59" s="1" t="s">
        <v>41</v>
      </c>
      <c r="N59" s="1" t="s">
        <v>42</v>
      </c>
      <c r="O59" s="1" t="n">
        <v>2000</v>
      </c>
      <c r="P59" s="1" t="s">
        <v>43</v>
      </c>
      <c r="Q59" s="1" t="s">
        <v>66</v>
      </c>
      <c r="R59" s="1"/>
      <c r="S59" s="1"/>
      <c r="T59" s="1"/>
      <c r="U59" s="1"/>
      <c r="V59" s="1"/>
      <c r="W59" s="1" t="s">
        <v>45</v>
      </c>
      <c r="X59" s="1" t="s">
        <v>46</v>
      </c>
      <c r="Y59" s="3" t="n">
        <v>44502</v>
      </c>
      <c r="Z59" s="1" t="s">
        <v>47</v>
      </c>
      <c r="AA59" s="1"/>
      <c r="AB59" s="1" t="n">
        <v>1</v>
      </c>
      <c r="AC59" s="1"/>
      <c r="AD59" s="1"/>
      <c r="AE59" s="3"/>
      <c r="AF59" s="1"/>
      <c r="AG59" s="1"/>
    </row>
    <row r="60" s="5" customFormat="true" ht="12.75" hidden="false" customHeight="true" outlineLevel="0" collapsed="false">
      <c r="A60" s="1" t="n">
        <v>59</v>
      </c>
      <c r="B60" s="2" t="n">
        <v>1.05900000000001</v>
      </c>
      <c r="C60" s="1" t="n">
        <v>1</v>
      </c>
      <c r="D60" s="1" t="s">
        <v>34</v>
      </c>
      <c r="E60" s="1" t="s">
        <v>35</v>
      </c>
      <c r="F60" s="1" t="s">
        <v>36</v>
      </c>
      <c r="G60" s="1" t="s">
        <v>100</v>
      </c>
      <c r="H60" s="1" t="s">
        <v>35</v>
      </c>
      <c r="I60" s="1" t="s">
        <v>35</v>
      </c>
      <c r="J60" s="1" t="s">
        <v>115</v>
      </c>
      <c r="K60" s="1" t="s">
        <v>52</v>
      </c>
      <c r="L60" s="1" t="s">
        <v>40</v>
      </c>
      <c r="M60" s="1" t="s">
        <v>41</v>
      </c>
      <c r="N60" s="1" t="s">
        <v>42</v>
      </c>
      <c r="O60" s="1" t="n">
        <v>2000</v>
      </c>
      <c r="P60" s="1" t="s">
        <v>43</v>
      </c>
      <c r="Q60" s="1" t="s">
        <v>66</v>
      </c>
      <c r="R60" s="1"/>
      <c r="S60" s="1"/>
      <c r="T60" s="1"/>
      <c r="U60" s="1"/>
      <c r="V60" s="1"/>
      <c r="W60" s="1" t="s">
        <v>45</v>
      </c>
      <c r="X60" s="1" t="s">
        <v>46</v>
      </c>
      <c r="Y60" s="3" t="n">
        <v>44502</v>
      </c>
      <c r="Z60" s="1" t="s">
        <v>47</v>
      </c>
      <c r="AA60" s="1"/>
      <c r="AB60" s="1" t="n">
        <v>1</v>
      </c>
      <c r="AC60" s="1"/>
      <c r="AD60" s="1"/>
      <c r="AE60" s="3"/>
      <c r="AF60" s="1"/>
      <c r="AG60" s="1"/>
    </row>
    <row r="61" s="5" customFormat="true" ht="12.75" hidden="false" customHeight="true" outlineLevel="0" collapsed="false">
      <c r="A61" s="1" t="n">
        <v>60</v>
      </c>
      <c r="B61" s="2" t="n">
        <v>1.06000000000001</v>
      </c>
      <c r="C61" s="1" t="n">
        <v>1</v>
      </c>
      <c r="D61" s="1" t="s">
        <v>34</v>
      </c>
      <c r="E61" s="1" t="s">
        <v>35</v>
      </c>
      <c r="F61" s="1" t="s">
        <v>36</v>
      </c>
      <c r="G61" s="1" t="s">
        <v>100</v>
      </c>
      <c r="H61" s="1" t="s">
        <v>35</v>
      </c>
      <c r="I61" s="1" t="s">
        <v>35</v>
      </c>
      <c r="J61" s="1" t="s">
        <v>116</v>
      </c>
      <c r="K61" s="1" t="s">
        <v>39</v>
      </c>
      <c r="L61" s="1" t="s">
        <v>40</v>
      </c>
      <c r="M61" s="1" t="s">
        <v>41</v>
      </c>
      <c r="N61" s="1" t="s">
        <v>42</v>
      </c>
      <c r="O61" s="1" t="n">
        <v>2000</v>
      </c>
      <c r="P61" s="1" t="s">
        <v>43</v>
      </c>
      <c r="Q61" s="1" t="s">
        <v>66</v>
      </c>
      <c r="R61" s="1"/>
      <c r="S61" s="1"/>
      <c r="T61" s="1"/>
      <c r="U61" s="1"/>
      <c r="V61" s="1"/>
      <c r="W61" s="1" t="s">
        <v>45</v>
      </c>
      <c r="X61" s="1" t="s">
        <v>46</v>
      </c>
      <c r="Y61" s="3" t="n">
        <v>44502</v>
      </c>
      <c r="Z61" s="1" t="s">
        <v>47</v>
      </c>
      <c r="AA61" s="1"/>
      <c r="AB61" s="1" t="n">
        <v>1</v>
      </c>
      <c r="AC61" s="1"/>
      <c r="AD61" s="1"/>
      <c r="AE61" s="3"/>
      <c r="AF61" s="1"/>
      <c r="AG61" s="1"/>
    </row>
    <row r="62" s="5" customFormat="true" ht="12.75" hidden="false" customHeight="true" outlineLevel="0" collapsed="false">
      <c r="A62" s="1" t="n">
        <v>61</v>
      </c>
      <c r="B62" s="2" t="n">
        <v>1.06100000000001</v>
      </c>
      <c r="C62" s="1" t="n">
        <v>1</v>
      </c>
      <c r="D62" s="1" t="s">
        <v>34</v>
      </c>
      <c r="E62" s="1" t="s">
        <v>35</v>
      </c>
      <c r="F62" s="1" t="s">
        <v>36</v>
      </c>
      <c r="G62" s="1" t="s">
        <v>100</v>
      </c>
      <c r="H62" s="1" t="s">
        <v>35</v>
      </c>
      <c r="I62" s="1" t="s">
        <v>35</v>
      </c>
      <c r="J62" s="1" t="s">
        <v>117</v>
      </c>
      <c r="K62" s="1" t="s">
        <v>39</v>
      </c>
      <c r="L62" s="1" t="s">
        <v>40</v>
      </c>
      <c r="M62" s="1" t="s">
        <v>41</v>
      </c>
      <c r="N62" s="1" t="s">
        <v>42</v>
      </c>
      <c r="O62" s="1" t="n">
        <v>2000</v>
      </c>
      <c r="P62" s="1" t="s">
        <v>43</v>
      </c>
      <c r="Q62" s="1" t="s">
        <v>66</v>
      </c>
      <c r="R62" s="1"/>
      <c r="S62" s="1"/>
      <c r="T62" s="1"/>
      <c r="U62" s="1"/>
      <c r="V62" s="1"/>
      <c r="W62" s="1" t="s">
        <v>45</v>
      </c>
      <c r="X62" s="1" t="s">
        <v>46</v>
      </c>
      <c r="Y62" s="3" t="n">
        <v>44502</v>
      </c>
      <c r="Z62" s="1" t="s">
        <v>47</v>
      </c>
      <c r="AA62" s="1"/>
      <c r="AB62" s="1" t="n">
        <v>1</v>
      </c>
      <c r="AC62" s="1"/>
      <c r="AD62" s="1"/>
      <c r="AE62" s="3"/>
      <c r="AF62" s="1"/>
      <c r="AG62" s="1"/>
    </row>
    <row r="63" s="5" customFormat="true" ht="12.75" hidden="false" customHeight="true" outlineLevel="0" collapsed="false">
      <c r="A63" s="1" t="n">
        <v>62</v>
      </c>
      <c r="B63" s="2" t="n">
        <v>1.06200000000001</v>
      </c>
      <c r="C63" s="1" t="n">
        <v>1</v>
      </c>
      <c r="D63" s="1" t="s">
        <v>34</v>
      </c>
      <c r="E63" s="1" t="s">
        <v>35</v>
      </c>
      <c r="F63" s="1" t="s">
        <v>36</v>
      </c>
      <c r="G63" s="1" t="s">
        <v>100</v>
      </c>
      <c r="H63" s="1" t="s">
        <v>35</v>
      </c>
      <c r="I63" s="1" t="s">
        <v>35</v>
      </c>
      <c r="J63" s="1" t="s">
        <v>118</v>
      </c>
      <c r="K63" s="1" t="s">
        <v>39</v>
      </c>
      <c r="L63" s="1" t="s">
        <v>40</v>
      </c>
      <c r="M63" s="1" t="s">
        <v>41</v>
      </c>
      <c r="N63" s="1" t="s">
        <v>42</v>
      </c>
      <c r="O63" s="1" t="n">
        <v>2000</v>
      </c>
      <c r="P63" s="1" t="s">
        <v>43</v>
      </c>
      <c r="Q63" s="1" t="s">
        <v>66</v>
      </c>
      <c r="R63" s="1"/>
      <c r="S63" s="1"/>
      <c r="T63" s="1"/>
      <c r="U63" s="1"/>
      <c r="V63" s="1"/>
      <c r="W63" s="1" t="s">
        <v>45</v>
      </c>
      <c r="X63" s="1" t="s">
        <v>46</v>
      </c>
      <c r="Y63" s="3" t="n">
        <v>44502</v>
      </c>
      <c r="Z63" s="1" t="s">
        <v>47</v>
      </c>
      <c r="AA63" s="1"/>
      <c r="AB63" s="1" t="n">
        <v>1</v>
      </c>
      <c r="AC63" s="1"/>
      <c r="AD63" s="1"/>
      <c r="AE63" s="3"/>
      <c r="AF63" s="1"/>
      <c r="AG63" s="1"/>
    </row>
    <row r="64" s="5" customFormat="true" ht="12.75" hidden="false" customHeight="true" outlineLevel="0" collapsed="false">
      <c r="A64" s="1" t="n">
        <v>63</v>
      </c>
      <c r="B64" s="2" t="n">
        <v>1.06300000000001</v>
      </c>
      <c r="C64" s="1" t="n">
        <v>1</v>
      </c>
      <c r="D64" s="1" t="s">
        <v>34</v>
      </c>
      <c r="E64" s="1" t="s">
        <v>35</v>
      </c>
      <c r="F64" s="1" t="s">
        <v>36</v>
      </c>
      <c r="G64" s="1" t="s">
        <v>100</v>
      </c>
      <c r="H64" s="1" t="s">
        <v>35</v>
      </c>
      <c r="I64" s="1" t="s">
        <v>35</v>
      </c>
      <c r="J64" s="1" t="s">
        <v>119</v>
      </c>
      <c r="K64" s="1" t="s">
        <v>39</v>
      </c>
      <c r="L64" s="1" t="s">
        <v>40</v>
      </c>
      <c r="M64" s="1" t="n">
        <v>21</v>
      </c>
      <c r="N64" s="1" t="s">
        <v>42</v>
      </c>
      <c r="O64" s="1" t="n">
        <v>2000</v>
      </c>
      <c r="P64" s="1" t="s">
        <v>43</v>
      </c>
      <c r="Q64" s="1" t="s">
        <v>120</v>
      </c>
      <c r="R64" s="1"/>
      <c r="S64" s="1"/>
      <c r="T64" s="1"/>
      <c r="U64" s="1"/>
      <c r="V64" s="1"/>
      <c r="W64" s="1" t="s">
        <v>45</v>
      </c>
      <c r="X64" s="1" t="s">
        <v>46</v>
      </c>
      <c r="Y64" s="3" t="n">
        <v>44502</v>
      </c>
      <c r="Z64" s="1" t="s">
        <v>47</v>
      </c>
      <c r="AA64" s="1"/>
      <c r="AB64" s="1" t="n">
        <v>1</v>
      </c>
      <c r="AC64" s="1"/>
      <c r="AD64" s="1"/>
      <c r="AE64" s="3"/>
      <c r="AF64" s="1"/>
      <c r="AG64" s="1"/>
    </row>
    <row r="65" s="5" customFormat="true" ht="12.75" hidden="false" customHeight="true" outlineLevel="0" collapsed="false">
      <c r="A65" s="1" t="n">
        <v>64</v>
      </c>
      <c r="B65" s="2" t="n">
        <v>1.06400000000001</v>
      </c>
      <c r="C65" s="1" t="n">
        <v>1</v>
      </c>
      <c r="D65" s="1" t="s">
        <v>34</v>
      </c>
      <c r="E65" s="1" t="s">
        <v>35</v>
      </c>
      <c r="F65" s="1" t="s">
        <v>36</v>
      </c>
      <c r="G65" s="1" t="s">
        <v>100</v>
      </c>
      <c r="H65" s="1" t="s">
        <v>35</v>
      </c>
      <c r="I65" s="1" t="s">
        <v>35</v>
      </c>
      <c r="J65" s="1" t="s">
        <v>121</v>
      </c>
      <c r="K65" s="1" t="s">
        <v>39</v>
      </c>
      <c r="L65" s="1" t="s">
        <v>40</v>
      </c>
      <c r="M65" s="1" t="n">
        <v>21</v>
      </c>
      <c r="N65" s="1" t="s">
        <v>42</v>
      </c>
      <c r="O65" s="1" t="n">
        <v>2000</v>
      </c>
      <c r="P65" s="1" t="s">
        <v>43</v>
      </c>
      <c r="Q65" s="1" t="s">
        <v>120</v>
      </c>
      <c r="R65" s="1"/>
      <c r="S65" s="1"/>
      <c r="T65" s="1"/>
      <c r="U65" s="1"/>
      <c r="V65" s="1"/>
      <c r="W65" s="1" t="s">
        <v>45</v>
      </c>
      <c r="X65" s="1" t="s">
        <v>46</v>
      </c>
      <c r="Y65" s="3" t="n">
        <v>44502</v>
      </c>
      <c r="Z65" s="1" t="s">
        <v>47</v>
      </c>
      <c r="AA65" s="1"/>
      <c r="AB65" s="1" t="n">
        <v>1</v>
      </c>
      <c r="AC65" s="1"/>
      <c r="AD65" s="1"/>
      <c r="AE65" s="3"/>
      <c r="AF65" s="1"/>
      <c r="AG65" s="1"/>
    </row>
    <row r="66" s="5" customFormat="true" ht="12.75" hidden="false" customHeight="true" outlineLevel="0" collapsed="false">
      <c r="A66" s="1" t="n">
        <v>65</v>
      </c>
      <c r="B66" s="2" t="n">
        <v>1.06500000000001</v>
      </c>
      <c r="C66" s="1" t="n">
        <v>1</v>
      </c>
      <c r="D66" s="1" t="s">
        <v>34</v>
      </c>
      <c r="E66" s="1" t="s">
        <v>35</v>
      </c>
      <c r="F66" s="1" t="s">
        <v>36</v>
      </c>
      <c r="G66" s="1" t="s">
        <v>100</v>
      </c>
      <c r="H66" s="1" t="s">
        <v>35</v>
      </c>
      <c r="I66" s="1" t="s">
        <v>35</v>
      </c>
      <c r="J66" s="1" t="s">
        <v>122</v>
      </c>
      <c r="K66" s="1" t="s">
        <v>39</v>
      </c>
      <c r="L66" s="1" t="s">
        <v>40</v>
      </c>
      <c r="M66" s="1" t="s">
        <v>41</v>
      </c>
      <c r="N66" s="1" t="s">
        <v>42</v>
      </c>
      <c r="O66" s="1" t="n">
        <v>2000</v>
      </c>
      <c r="P66" s="1" t="s">
        <v>43</v>
      </c>
      <c r="Q66" s="1" t="s">
        <v>66</v>
      </c>
      <c r="R66" s="1"/>
      <c r="S66" s="1"/>
      <c r="T66" s="1"/>
      <c r="U66" s="1"/>
      <c r="V66" s="1"/>
      <c r="W66" s="1" t="s">
        <v>45</v>
      </c>
      <c r="X66" s="1" t="s">
        <v>46</v>
      </c>
      <c r="Y66" s="3" t="n">
        <v>44502</v>
      </c>
      <c r="Z66" s="1" t="s">
        <v>47</v>
      </c>
      <c r="AA66" s="1"/>
      <c r="AB66" s="1" t="n">
        <v>1</v>
      </c>
      <c r="AC66" s="1"/>
      <c r="AD66" s="1"/>
      <c r="AE66" s="3"/>
      <c r="AF66" s="1"/>
      <c r="AG66" s="1"/>
    </row>
    <row r="67" s="5" customFormat="true" ht="12.75" hidden="false" customHeight="true" outlineLevel="0" collapsed="false">
      <c r="A67" s="1" t="n">
        <v>66</v>
      </c>
      <c r="B67" s="2" t="n">
        <v>1.06600000000001</v>
      </c>
      <c r="C67" s="1" t="n">
        <v>1</v>
      </c>
      <c r="D67" s="1" t="s">
        <v>34</v>
      </c>
      <c r="E67" s="1" t="s">
        <v>35</v>
      </c>
      <c r="F67" s="1" t="s">
        <v>36</v>
      </c>
      <c r="G67" s="1" t="s">
        <v>100</v>
      </c>
      <c r="H67" s="1" t="s">
        <v>35</v>
      </c>
      <c r="I67" s="1" t="s">
        <v>35</v>
      </c>
      <c r="J67" s="1" t="s">
        <v>123</v>
      </c>
      <c r="K67" s="1" t="s">
        <v>39</v>
      </c>
      <c r="L67" s="1" t="s">
        <v>40</v>
      </c>
      <c r="M67" s="1" t="s">
        <v>124</v>
      </c>
      <c r="N67" s="1" t="s">
        <v>42</v>
      </c>
      <c r="O67" s="1" t="n">
        <v>2000</v>
      </c>
      <c r="P67" s="1" t="s">
        <v>43</v>
      </c>
      <c r="Q67" s="1" t="s">
        <v>120</v>
      </c>
      <c r="R67" s="1" t="s">
        <v>125</v>
      </c>
      <c r="S67" s="1"/>
      <c r="T67" s="1"/>
      <c r="U67" s="1"/>
      <c r="V67" s="1"/>
      <c r="W67" s="1" t="s">
        <v>45</v>
      </c>
      <c r="X67" s="1" t="s">
        <v>46</v>
      </c>
      <c r="Y67" s="3" t="n">
        <v>44502</v>
      </c>
      <c r="Z67" s="1" t="s">
        <v>47</v>
      </c>
      <c r="AA67" s="1"/>
      <c r="AB67" s="1" t="n">
        <v>1</v>
      </c>
      <c r="AC67" s="1"/>
      <c r="AD67" s="1"/>
      <c r="AE67" s="3"/>
      <c r="AF67" s="1"/>
      <c r="AG67" s="1"/>
    </row>
    <row r="68" s="5" customFormat="true" ht="12.75" hidden="false" customHeight="true" outlineLevel="0" collapsed="false">
      <c r="A68" s="1" t="n">
        <v>67</v>
      </c>
      <c r="B68" s="2" t="n">
        <v>1.06700000000001</v>
      </c>
      <c r="C68" s="1" t="n">
        <v>1</v>
      </c>
      <c r="D68" s="1" t="s">
        <v>34</v>
      </c>
      <c r="E68" s="1" t="s">
        <v>35</v>
      </c>
      <c r="F68" s="1" t="s">
        <v>36</v>
      </c>
      <c r="G68" s="1" t="s">
        <v>100</v>
      </c>
      <c r="H68" s="1" t="s">
        <v>35</v>
      </c>
      <c r="I68" s="1" t="s">
        <v>35</v>
      </c>
      <c r="J68" s="1" t="s">
        <v>126</v>
      </c>
      <c r="K68" s="1" t="s">
        <v>39</v>
      </c>
      <c r="L68" s="1" t="s">
        <v>40</v>
      </c>
      <c r="M68" s="1" t="s">
        <v>41</v>
      </c>
      <c r="N68" s="1" t="s">
        <v>42</v>
      </c>
      <c r="O68" s="1" t="n">
        <v>2000</v>
      </c>
      <c r="P68" s="1" t="s">
        <v>43</v>
      </c>
      <c r="Q68" s="1" t="s">
        <v>66</v>
      </c>
      <c r="R68" s="1"/>
      <c r="S68" s="1"/>
      <c r="T68" s="1"/>
      <c r="U68" s="1"/>
      <c r="V68" s="1"/>
      <c r="W68" s="1" t="s">
        <v>45</v>
      </c>
      <c r="X68" s="1" t="s">
        <v>46</v>
      </c>
      <c r="Y68" s="3" t="n">
        <v>44502</v>
      </c>
      <c r="Z68" s="1" t="s">
        <v>47</v>
      </c>
      <c r="AA68" s="1"/>
      <c r="AB68" s="1" t="n">
        <v>1</v>
      </c>
      <c r="AC68" s="1"/>
      <c r="AD68" s="1"/>
      <c r="AE68" s="3"/>
      <c r="AF68" s="1"/>
      <c r="AG68" s="1"/>
    </row>
    <row r="69" s="5" customFormat="true" ht="12.75" hidden="false" customHeight="true" outlineLevel="0" collapsed="false">
      <c r="A69" s="1" t="n">
        <v>68</v>
      </c>
      <c r="B69" s="2" t="n">
        <v>1.06800000000001</v>
      </c>
      <c r="C69" s="1" t="n">
        <v>1</v>
      </c>
      <c r="D69" s="1" t="s">
        <v>34</v>
      </c>
      <c r="E69" s="1" t="s">
        <v>35</v>
      </c>
      <c r="F69" s="1" t="s">
        <v>36</v>
      </c>
      <c r="G69" s="1" t="s">
        <v>100</v>
      </c>
      <c r="H69" s="1" t="s">
        <v>35</v>
      </c>
      <c r="I69" s="1" t="s">
        <v>35</v>
      </c>
      <c r="J69" s="1" t="s">
        <v>127</v>
      </c>
      <c r="K69" s="1" t="s">
        <v>39</v>
      </c>
      <c r="L69" s="1" t="s">
        <v>40</v>
      </c>
      <c r="M69" s="1" t="s">
        <v>41</v>
      </c>
      <c r="N69" s="1" t="s">
        <v>42</v>
      </c>
      <c r="O69" s="1" t="n">
        <v>2000</v>
      </c>
      <c r="P69" s="1" t="s">
        <v>43</v>
      </c>
      <c r="Q69" s="1" t="s">
        <v>66</v>
      </c>
      <c r="R69" s="1"/>
      <c r="S69" s="1"/>
      <c r="T69" s="1"/>
      <c r="U69" s="1"/>
      <c r="V69" s="1"/>
      <c r="W69" s="1" t="s">
        <v>45</v>
      </c>
      <c r="X69" s="1" t="s">
        <v>46</v>
      </c>
      <c r="Y69" s="3" t="n">
        <v>44502</v>
      </c>
      <c r="Z69" s="1" t="s">
        <v>47</v>
      </c>
      <c r="AA69" s="1"/>
      <c r="AB69" s="1" t="n">
        <v>1</v>
      </c>
      <c r="AC69" s="1"/>
      <c r="AD69" s="1"/>
      <c r="AE69" s="3"/>
      <c r="AF69" s="1"/>
      <c r="AG69" s="1"/>
    </row>
    <row r="70" s="5" customFormat="true" ht="12.75" hidden="false" customHeight="true" outlineLevel="0" collapsed="false">
      <c r="A70" s="1" t="n">
        <v>69</v>
      </c>
      <c r="B70" s="2" t="n">
        <v>1.06900000000001</v>
      </c>
      <c r="C70" s="1" t="n">
        <v>1</v>
      </c>
      <c r="D70" s="1" t="s">
        <v>34</v>
      </c>
      <c r="E70" s="1" t="s">
        <v>35</v>
      </c>
      <c r="F70" s="1" t="s">
        <v>36</v>
      </c>
      <c r="G70" s="1" t="s">
        <v>100</v>
      </c>
      <c r="H70" s="1" t="s">
        <v>35</v>
      </c>
      <c r="I70" s="1" t="s">
        <v>35</v>
      </c>
      <c r="J70" s="1" t="s">
        <v>128</v>
      </c>
      <c r="K70" s="1" t="s">
        <v>39</v>
      </c>
      <c r="L70" s="1" t="s">
        <v>40</v>
      </c>
      <c r="M70" s="1" t="s">
        <v>41</v>
      </c>
      <c r="N70" s="1" t="s">
        <v>42</v>
      </c>
      <c r="O70" s="1" t="n">
        <v>2000</v>
      </c>
      <c r="P70" s="1" t="s">
        <v>43</v>
      </c>
      <c r="Q70" s="1" t="s">
        <v>66</v>
      </c>
      <c r="R70" s="1"/>
      <c r="S70" s="1"/>
      <c r="T70" s="1"/>
      <c r="U70" s="1"/>
      <c r="V70" s="1"/>
      <c r="W70" s="1" t="s">
        <v>45</v>
      </c>
      <c r="X70" s="1" t="s">
        <v>46</v>
      </c>
      <c r="Y70" s="3" t="n">
        <v>44502</v>
      </c>
      <c r="Z70" s="1" t="s">
        <v>47</v>
      </c>
      <c r="AA70" s="1"/>
      <c r="AB70" s="1" t="n">
        <v>1</v>
      </c>
      <c r="AC70" s="1"/>
      <c r="AD70" s="1"/>
      <c r="AE70" s="3"/>
      <c r="AF70" s="1"/>
      <c r="AG70" s="1"/>
    </row>
    <row r="71" s="5" customFormat="true" ht="12.75" hidden="false" customHeight="true" outlineLevel="0" collapsed="false">
      <c r="A71" s="1" t="n">
        <v>70</v>
      </c>
      <c r="B71" s="2" t="n">
        <v>1.07000000000001</v>
      </c>
      <c r="C71" s="1" t="n">
        <v>1</v>
      </c>
      <c r="D71" s="1" t="s">
        <v>34</v>
      </c>
      <c r="E71" s="1" t="s">
        <v>35</v>
      </c>
      <c r="F71" s="1" t="s">
        <v>36</v>
      </c>
      <c r="G71" s="1" t="s">
        <v>100</v>
      </c>
      <c r="H71" s="1" t="s">
        <v>35</v>
      </c>
      <c r="I71" s="1" t="s">
        <v>35</v>
      </c>
      <c r="J71" s="1" t="s">
        <v>129</v>
      </c>
      <c r="K71" s="1" t="s">
        <v>39</v>
      </c>
      <c r="L71" s="1" t="s">
        <v>40</v>
      </c>
      <c r="M71" s="1" t="s">
        <v>41</v>
      </c>
      <c r="N71" s="1" t="s">
        <v>42</v>
      </c>
      <c r="O71" s="1" t="n">
        <v>2000</v>
      </c>
      <c r="P71" s="1" t="s">
        <v>43</v>
      </c>
      <c r="Q71" s="1" t="s">
        <v>66</v>
      </c>
      <c r="R71" s="1"/>
      <c r="S71" s="1"/>
      <c r="T71" s="1"/>
      <c r="U71" s="1"/>
      <c r="V71" s="1"/>
      <c r="W71" s="1" t="s">
        <v>45</v>
      </c>
      <c r="X71" s="1" t="s">
        <v>46</v>
      </c>
      <c r="Y71" s="3" t="n">
        <v>44502</v>
      </c>
      <c r="Z71" s="1" t="s">
        <v>47</v>
      </c>
      <c r="AA71" s="1"/>
      <c r="AB71" s="1" t="n">
        <v>1</v>
      </c>
      <c r="AC71" s="1"/>
      <c r="AD71" s="1"/>
      <c r="AE71" s="3"/>
      <c r="AF71" s="1"/>
      <c r="AG71" s="1"/>
    </row>
    <row r="72" s="5" customFormat="true" ht="12.75" hidden="false" customHeight="true" outlineLevel="0" collapsed="false">
      <c r="A72" s="1" t="n">
        <v>71</v>
      </c>
      <c r="B72" s="2" t="n">
        <v>1.07100000000001</v>
      </c>
      <c r="C72" s="1" t="n">
        <v>1</v>
      </c>
      <c r="D72" s="1" t="s">
        <v>34</v>
      </c>
      <c r="E72" s="1" t="s">
        <v>35</v>
      </c>
      <c r="F72" s="1" t="s">
        <v>36</v>
      </c>
      <c r="G72" s="1" t="s">
        <v>100</v>
      </c>
      <c r="H72" s="1" t="s">
        <v>35</v>
      </c>
      <c r="I72" s="1" t="s">
        <v>35</v>
      </c>
      <c r="J72" s="1" t="s">
        <v>130</v>
      </c>
      <c r="K72" s="1" t="s">
        <v>39</v>
      </c>
      <c r="L72" s="1" t="s">
        <v>40</v>
      </c>
      <c r="M72" s="1" t="s">
        <v>41</v>
      </c>
      <c r="N72" s="1" t="s">
        <v>42</v>
      </c>
      <c r="O72" s="1" t="n">
        <v>2000</v>
      </c>
      <c r="P72" s="1" t="s">
        <v>43</v>
      </c>
      <c r="Q72" s="1" t="s">
        <v>66</v>
      </c>
      <c r="R72" s="1"/>
      <c r="S72" s="1"/>
      <c r="T72" s="1"/>
      <c r="U72" s="1"/>
      <c r="V72" s="1"/>
      <c r="W72" s="1" t="s">
        <v>45</v>
      </c>
      <c r="X72" s="1" t="s">
        <v>46</v>
      </c>
      <c r="Y72" s="3" t="n">
        <v>44502</v>
      </c>
      <c r="Z72" s="1" t="s">
        <v>47</v>
      </c>
      <c r="AA72" s="1"/>
      <c r="AB72" s="1" t="n">
        <v>1</v>
      </c>
      <c r="AC72" s="1"/>
      <c r="AD72" s="1"/>
      <c r="AE72" s="3"/>
      <c r="AF72" s="1"/>
      <c r="AG72" s="1"/>
    </row>
    <row r="73" s="5" customFormat="true" ht="12.75" hidden="false" customHeight="true" outlineLevel="0" collapsed="false">
      <c r="A73" s="1" t="n">
        <v>72</v>
      </c>
      <c r="B73" s="2" t="n">
        <v>1.07200000000001</v>
      </c>
      <c r="C73" s="1" t="n">
        <v>1</v>
      </c>
      <c r="D73" s="1" t="s">
        <v>34</v>
      </c>
      <c r="E73" s="1" t="s">
        <v>35</v>
      </c>
      <c r="F73" s="1" t="s">
        <v>36</v>
      </c>
      <c r="G73" s="1" t="s">
        <v>100</v>
      </c>
      <c r="H73" s="1" t="s">
        <v>35</v>
      </c>
      <c r="I73" s="1" t="s">
        <v>35</v>
      </c>
      <c r="J73" s="1" t="s">
        <v>131</v>
      </c>
      <c r="K73" s="1" t="s">
        <v>39</v>
      </c>
      <c r="L73" s="1" t="s">
        <v>40</v>
      </c>
      <c r="M73" s="1" t="s">
        <v>41</v>
      </c>
      <c r="N73" s="1" t="s">
        <v>42</v>
      </c>
      <c r="O73" s="1" t="n">
        <v>2000</v>
      </c>
      <c r="P73" s="1" t="s">
        <v>43</v>
      </c>
      <c r="Q73" s="1" t="s">
        <v>66</v>
      </c>
      <c r="R73" s="1"/>
      <c r="S73" s="1"/>
      <c r="T73" s="1"/>
      <c r="U73" s="1"/>
      <c r="V73" s="1"/>
      <c r="W73" s="1" t="s">
        <v>45</v>
      </c>
      <c r="X73" s="1" t="s">
        <v>46</v>
      </c>
      <c r="Y73" s="3" t="n">
        <v>44502</v>
      </c>
      <c r="Z73" s="1" t="s">
        <v>47</v>
      </c>
      <c r="AA73" s="1"/>
      <c r="AB73" s="1" t="n">
        <v>1</v>
      </c>
      <c r="AC73" s="1"/>
      <c r="AD73" s="1"/>
      <c r="AE73" s="3"/>
      <c r="AF73" s="1"/>
      <c r="AG73" s="1"/>
    </row>
    <row r="74" s="5" customFormat="true" ht="12.75" hidden="false" customHeight="true" outlineLevel="0" collapsed="false">
      <c r="A74" s="1" t="n">
        <v>73</v>
      </c>
      <c r="B74" s="2" t="n">
        <v>1.07300000000001</v>
      </c>
      <c r="C74" s="1" t="n">
        <v>1</v>
      </c>
      <c r="D74" s="1" t="s">
        <v>34</v>
      </c>
      <c r="E74" s="1" t="s">
        <v>35</v>
      </c>
      <c r="F74" s="1" t="s">
        <v>36</v>
      </c>
      <c r="G74" s="1" t="s">
        <v>100</v>
      </c>
      <c r="H74" s="1" t="s">
        <v>35</v>
      </c>
      <c r="I74" s="1" t="s">
        <v>35</v>
      </c>
      <c r="J74" s="1" t="s">
        <v>132</v>
      </c>
      <c r="K74" s="1" t="s">
        <v>39</v>
      </c>
      <c r="L74" s="1" t="s">
        <v>40</v>
      </c>
      <c r="M74" s="1" t="s">
        <v>41</v>
      </c>
      <c r="N74" s="1" t="s">
        <v>42</v>
      </c>
      <c r="O74" s="1" t="n">
        <v>2000</v>
      </c>
      <c r="P74" s="1" t="s">
        <v>43</v>
      </c>
      <c r="Q74" s="1" t="s">
        <v>66</v>
      </c>
      <c r="R74" s="1"/>
      <c r="S74" s="1"/>
      <c r="T74" s="1"/>
      <c r="U74" s="1"/>
      <c r="V74" s="1"/>
      <c r="W74" s="1" t="s">
        <v>45</v>
      </c>
      <c r="X74" s="1" t="s">
        <v>46</v>
      </c>
      <c r="Y74" s="3" t="n">
        <v>44502</v>
      </c>
      <c r="Z74" s="1" t="s">
        <v>47</v>
      </c>
      <c r="AA74" s="1"/>
      <c r="AB74" s="1" t="n">
        <v>1</v>
      </c>
      <c r="AC74" s="1"/>
      <c r="AD74" s="1"/>
      <c r="AE74" s="3"/>
      <c r="AF74" s="1"/>
      <c r="AG74" s="1"/>
    </row>
    <row r="75" s="5" customFormat="true" ht="12.75" hidden="false" customHeight="true" outlineLevel="0" collapsed="false">
      <c r="A75" s="1" t="n">
        <v>74</v>
      </c>
      <c r="B75" s="2" t="n">
        <v>1.07400000000001</v>
      </c>
      <c r="C75" s="1" t="n">
        <v>1</v>
      </c>
      <c r="D75" s="1" t="s">
        <v>34</v>
      </c>
      <c r="E75" s="1" t="s">
        <v>35</v>
      </c>
      <c r="F75" s="1" t="s">
        <v>36</v>
      </c>
      <c r="G75" s="1" t="s">
        <v>100</v>
      </c>
      <c r="H75" s="1" t="s">
        <v>35</v>
      </c>
      <c r="I75" s="1" t="s">
        <v>35</v>
      </c>
      <c r="J75" s="1" t="s">
        <v>133</v>
      </c>
      <c r="K75" s="1" t="s">
        <v>52</v>
      </c>
      <c r="L75" s="1" t="s">
        <v>40</v>
      </c>
      <c r="M75" s="1" t="s">
        <v>41</v>
      </c>
      <c r="N75" s="1" t="s">
        <v>42</v>
      </c>
      <c r="O75" s="1" t="n">
        <v>2000</v>
      </c>
      <c r="P75" s="1" t="s">
        <v>43</v>
      </c>
      <c r="Q75" s="1" t="s">
        <v>66</v>
      </c>
      <c r="R75" s="1"/>
      <c r="S75" s="1"/>
      <c r="T75" s="1"/>
      <c r="U75" s="1"/>
      <c r="V75" s="1"/>
      <c r="W75" s="1" t="s">
        <v>45</v>
      </c>
      <c r="X75" s="1" t="s">
        <v>46</v>
      </c>
      <c r="Y75" s="3" t="n">
        <v>44502</v>
      </c>
      <c r="Z75" s="1" t="s">
        <v>47</v>
      </c>
      <c r="AA75" s="1"/>
      <c r="AB75" s="1" t="n">
        <v>1</v>
      </c>
      <c r="AC75" s="1"/>
      <c r="AD75" s="1"/>
      <c r="AE75" s="3"/>
      <c r="AF75" s="1"/>
      <c r="AG75" s="1"/>
    </row>
    <row r="76" s="5" customFormat="true" ht="12.75" hidden="false" customHeight="true" outlineLevel="0" collapsed="false">
      <c r="A76" s="1" t="n">
        <v>75</v>
      </c>
      <c r="B76" s="2" t="n">
        <v>1.07500000000001</v>
      </c>
      <c r="C76" s="1" t="n">
        <v>1</v>
      </c>
      <c r="D76" s="1" t="s">
        <v>34</v>
      </c>
      <c r="E76" s="1" t="s">
        <v>35</v>
      </c>
      <c r="F76" s="1" t="s">
        <v>36</v>
      </c>
      <c r="G76" s="1" t="s">
        <v>100</v>
      </c>
      <c r="H76" s="1" t="s">
        <v>35</v>
      </c>
      <c r="I76" s="1" t="s">
        <v>35</v>
      </c>
      <c r="J76" s="1" t="s">
        <v>134</v>
      </c>
      <c r="K76" s="1" t="s">
        <v>39</v>
      </c>
      <c r="L76" s="1" t="s">
        <v>40</v>
      </c>
      <c r="M76" s="1" t="s">
        <v>41</v>
      </c>
      <c r="N76" s="1" t="s">
        <v>42</v>
      </c>
      <c r="O76" s="1" t="n">
        <v>2000</v>
      </c>
      <c r="P76" s="1" t="s">
        <v>43</v>
      </c>
      <c r="Q76" s="1" t="s">
        <v>66</v>
      </c>
      <c r="R76" s="1"/>
      <c r="S76" s="1"/>
      <c r="T76" s="1"/>
      <c r="U76" s="1"/>
      <c r="V76" s="1"/>
      <c r="W76" s="1" t="s">
        <v>45</v>
      </c>
      <c r="X76" s="1" t="s">
        <v>46</v>
      </c>
      <c r="Y76" s="3" t="n">
        <v>44502</v>
      </c>
      <c r="Z76" s="1" t="s">
        <v>47</v>
      </c>
      <c r="AA76" s="1"/>
      <c r="AB76" s="1" t="n">
        <v>1</v>
      </c>
      <c r="AC76" s="1"/>
      <c r="AD76" s="1"/>
      <c r="AE76" s="3"/>
      <c r="AF76" s="1"/>
      <c r="AG76" s="1"/>
    </row>
    <row r="77" s="5" customFormat="true" ht="12.75" hidden="false" customHeight="true" outlineLevel="0" collapsed="false">
      <c r="A77" s="1" t="n">
        <v>76</v>
      </c>
      <c r="B77" s="2" t="n">
        <v>1.07600000000001</v>
      </c>
      <c r="C77" s="1" t="n">
        <v>1</v>
      </c>
      <c r="D77" s="1" t="s">
        <v>34</v>
      </c>
      <c r="E77" s="1" t="s">
        <v>35</v>
      </c>
      <c r="F77" s="1" t="s">
        <v>36</v>
      </c>
      <c r="G77" s="1" t="s">
        <v>100</v>
      </c>
      <c r="H77" s="1" t="s">
        <v>35</v>
      </c>
      <c r="I77" s="1" t="s">
        <v>35</v>
      </c>
      <c r="J77" s="1" t="s">
        <v>135</v>
      </c>
      <c r="K77" s="1" t="s">
        <v>39</v>
      </c>
      <c r="L77" s="1" t="s">
        <v>40</v>
      </c>
      <c r="M77" s="1" t="s">
        <v>41</v>
      </c>
      <c r="N77" s="1" t="s">
        <v>42</v>
      </c>
      <c r="O77" s="1" t="n">
        <v>2000</v>
      </c>
      <c r="P77" s="1" t="s">
        <v>43</v>
      </c>
      <c r="Q77" s="1" t="s">
        <v>66</v>
      </c>
      <c r="R77" s="1"/>
      <c r="S77" s="1"/>
      <c r="T77" s="1"/>
      <c r="U77" s="1"/>
      <c r="V77" s="1"/>
      <c r="W77" s="1" t="s">
        <v>45</v>
      </c>
      <c r="X77" s="1" t="s">
        <v>46</v>
      </c>
      <c r="Y77" s="3" t="n">
        <v>44502</v>
      </c>
      <c r="Z77" s="1" t="s">
        <v>47</v>
      </c>
      <c r="AA77" s="1"/>
      <c r="AB77" s="1" t="n">
        <v>1</v>
      </c>
      <c r="AC77" s="1"/>
      <c r="AD77" s="1"/>
      <c r="AE77" s="3"/>
      <c r="AF77" s="1"/>
      <c r="AG77" s="1"/>
    </row>
    <row r="78" s="5" customFormat="true" ht="12.75" hidden="false" customHeight="true" outlineLevel="0" collapsed="false">
      <c r="A78" s="1" t="n">
        <v>77</v>
      </c>
      <c r="B78" s="2" t="n">
        <v>1.07700000000001</v>
      </c>
      <c r="C78" s="1" t="n">
        <v>1</v>
      </c>
      <c r="D78" s="1" t="s">
        <v>34</v>
      </c>
      <c r="E78" s="1" t="s">
        <v>35</v>
      </c>
      <c r="F78" s="1" t="s">
        <v>36</v>
      </c>
      <c r="G78" s="1" t="s">
        <v>100</v>
      </c>
      <c r="H78" s="1" t="s">
        <v>35</v>
      </c>
      <c r="I78" s="1" t="s">
        <v>35</v>
      </c>
      <c r="J78" s="1" t="s">
        <v>136</v>
      </c>
      <c r="K78" s="1" t="s">
        <v>39</v>
      </c>
      <c r="L78" s="1" t="s">
        <v>40</v>
      </c>
      <c r="M78" s="1" t="s">
        <v>41</v>
      </c>
      <c r="N78" s="1" t="s">
        <v>42</v>
      </c>
      <c r="O78" s="1" t="n">
        <v>2000</v>
      </c>
      <c r="P78" s="1" t="s">
        <v>43</v>
      </c>
      <c r="Q78" s="1" t="s">
        <v>66</v>
      </c>
      <c r="R78" s="1"/>
      <c r="S78" s="1"/>
      <c r="T78" s="1"/>
      <c r="U78" s="1"/>
      <c r="V78" s="1"/>
      <c r="W78" s="1" t="s">
        <v>45</v>
      </c>
      <c r="X78" s="1" t="s">
        <v>46</v>
      </c>
      <c r="Y78" s="3" t="n">
        <v>44502</v>
      </c>
      <c r="Z78" s="1" t="s">
        <v>47</v>
      </c>
      <c r="AA78" s="1"/>
      <c r="AB78" s="1" t="n">
        <v>1</v>
      </c>
      <c r="AC78" s="1"/>
      <c r="AD78" s="1"/>
      <c r="AE78" s="3"/>
      <c r="AF78" s="1"/>
      <c r="AG78" s="1"/>
    </row>
    <row r="79" s="5" customFormat="true" ht="12.75" hidden="false" customHeight="true" outlineLevel="0" collapsed="false">
      <c r="A79" s="1" t="n">
        <v>78</v>
      </c>
      <c r="B79" s="2" t="n">
        <v>1.07800000000001</v>
      </c>
      <c r="C79" s="1" t="n">
        <v>1</v>
      </c>
      <c r="D79" s="1" t="s">
        <v>34</v>
      </c>
      <c r="E79" s="1" t="s">
        <v>35</v>
      </c>
      <c r="F79" s="1" t="s">
        <v>36</v>
      </c>
      <c r="G79" s="1" t="s">
        <v>100</v>
      </c>
      <c r="H79" s="1" t="s">
        <v>35</v>
      </c>
      <c r="I79" s="1" t="s">
        <v>35</v>
      </c>
      <c r="J79" s="1" t="s">
        <v>137</v>
      </c>
      <c r="K79" s="1" t="s">
        <v>39</v>
      </c>
      <c r="L79" s="1" t="s">
        <v>40</v>
      </c>
      <c r="M79" s="1" t="s">
        <v>41</v>
      </c>
      <c r="N79" s="1" t="s">
        <v>42</v>
      </c>
      <c r="O79" s="1" t="n">
        <v>2000</v>
      </c>
      <c r="P79" s="1" t="s">
        <v>43</v>
      </c>
      <c r="Q79" s="1" t="s">
        <v>66</v>
      </c>
      <c r="R79" s="1"/>
      <c r="S79" s="1"/>
      <c r="T79" s="1"/>
      <c r="U79" s="1"/>
      <c r="V79" s="1"/>
      <c r="W79" s="1" t="s">
        <v>45</v>
      </c>
      <c r="X79" s="1" t="s">
        <v>46</v>
      </c>
      <c r="Y79" s="3" t="n">
        <v>44502</v>
      </c>
      <c r="Z79" s="1" t="s">
        <v>47</v>
      </c>
      <c r="AA79" s="1"/>
      <c r="AB79" s="1" t="n">
        <v>1</v>
      </c>
      <c r="AC79" s="1"/>
      <c r="AD79" s="1"/>
      <c r="AE79" s="3"/>
      <c r="AF79" s="1"/>
      <c r="AG79" s="1"/>
    </row>
    <row r="80" s="5" customFormat="true" ht="12.75" hidden="false" customHeight="true" outlineLevel="0" collapsed="false">
      <c r="A80" s="1" t="n">
        <v>79</v>
      </c>
      <c r="B80" s="2" t="n">
        <v>1.07900000000001</v>
      </c>
      <c r="C80" s="1" t="n">
        <v>1</v>
      </c>
      <c r="D80" s="1" t="s">
        <v>34</v>
      </c>
      <c r="E80" s="1" t="s">
        <v>35</v>
      </c>
      <c r="F80" s="1" t="s">
        <v>36</v>
      </c>
      <c r="G80" s="1" t="s">
        <v>100</v>
      </c>
      <c r="H80" s="1" t="s">
        <v>35</v>
      </c>
      <c r="I80" s="1" t="s">
        <v>35</v>
      </c>
      <c r="J80" s="1" t="s">
        <v>138</v>
      </c>
      <c r="K80" s="1" t="s">
        <v>39</v>
      </c>
      <c r="L80" s="1" t="s">
        <v>40</v>
      </c>
      <c r="M80" s="1" t="s">
        <v>41</v>
      </c>
      <c r="N80" s="1" t="s">
        <v>42</v>
      </c>
      <c r="O80" s="1" t="n">
        <v>2000</v>
      </c>
      <c r="P80" s="1" t="s">
        <v>43</v>
      </c>
      <c r="Q80" s="1" t="s">
        <v>66</v>
      </c>
      <c r="R80" s="1"/>
      <c r="S80" s="1"/>
      <c r="T80" s="1"/>
      <c r="U80" s="1"/>
      <c r="V80" s="1"/>
      <c r="W80" s="1" t="s">
        <v>45</v>
      </c>
      <c r="X80" s="1" t="s">
        <v>46</v>
      </c>
      <c r="Y80" s="3" t="n">
        <v>44502</v>
      </c>
      <c r="Z80" s="1" t="s">
        <v>47</v>
      </c>
      <c r="AA80" s="1"/>
      <c r="AB80" s="1" t="n">
        <v>1</v>
      </c>
      <c r="AC80" s="1"/>
      <c r="AD80" s="1"/>
      <c r="AE80" s="3"/>
      <c r="AF80" s="1"/>
      <c r="AG80" s="1"/>
    </row>
    <row r="81" s="5" customFormat="true" ht="12.75" hidden="false" customHeight="true" outlineLevel="0" collapsed="false">
      <c r="A81" s="1" t="n">
        <v>80</v>
      </c>
      <c r="B81" s="2" t="n">
        <v>1.08000000000001</v>
      </c>
      <c r="C81" s="1" t="n">
        <v>1</v>
      </c>
      <c r="D81" s="1" t="s">
        <v>34</v>
      </c>
      <c r="E81" s="1" t="s">
        <v>35</v>
      </c>
      <c r="F81" s="1" t="s">
        <v>36</v>
      </c>
      <c r="G81" s="1" t="s">
        <v>100</v>
      </c>
      <c r="H81" s="1" t="s">
        <v>35</v>
      </c>
      <c r="I81" s="1" t="s">
        <v>35</v>
      </c>
      <c r="J81" s="1" t="s">
        <v>139</v>
      </c>
      <c r="K81" s="1" t="s">
        <v>39</v>
      </c>
      <c r="L81" s="1" t="s">
        <v>40</v>
      </c>
      <c r="M81" s="1" t="s">
        <v>41</v>
      </c>
      <c r="N81" s="1" t="s">
        <v>42</v>
      </c>
      <c r="O81" s="1" t="n">
        <v>2000</v>
      </c>
      <c r="P81" s="1" t="s">
        <v>43</v>
      </c>
      <c r="Q81" s="1" t="s">
        <v>66</v>
      </c>
      <c r="R81" s="1"/>
      <c r="S81" s="1"/>
      <c r="T81" s="1"/>
      <c r="U81" s="1"/>
      <c r="V81" s="1"/>
      <c r="W81" s="1" t="s">
        <v>45</v>
      </c>
      <c r="X81" s="1" t="s">
        <v>46</v>
      </c>
      <c r="Y81" s="3" t="n">
        <v>44502</v>
      </c>
      <c r="Z81" s="1" t="s">
        <v>47</v>
      </c>
      <c r="AA81" s="1"/>
      <c r="AB81" s="1" t="n">
        <v>1</v>
      </c>
      <c r="AC81" s="1"/>
      <c r="AD81" s="1"/>
      <c r="AE81" s="3"/>
      <c r="AF81" s="1"/>
      <c r="AG81" s="1"/>
    </row>
    <row r="82" s="5" customFormat="true" ht="12.75" hidden="false" customHeight="true" outlineLevel="0" collapsed="false">
      <c r="A82" s="1" t="n">
        <v>81</v>
      </c>
      <c r="B82" s="2" t="n">
        <v>1.08100000000001</v>
      </c>
      <c r="C82" s="1" t="n">
        <v>1</v>
      </c>
      <c r="D82" s="1" t="s">
        <v>34</v>
      </c>
      <c r="E82" s="1" t="s">
        <v>35</v>
      </c>
      <c r="F82" s="1" t="s">
        <v>36</v>
      </c>
      <c r="G82" s="1" t="s">
        <v>100</v>
      </c>
      <c r="H82" s="1" t="s">
        <v>35</v>
      </c>
      <c r="I82" s="1" t="s">
        <v>35</v>
      </c>
      <c r="J82" s="1" t="s">
        <v>140</v>
      </c>
      <c r="K82" s="1" t="s">
        <v>141</v>
      </c>
      <c r="L82" s="1" t="s">
        <v>40</v>
      </c>
      <c r="M82" s="1" t="s">
        <v>41</v>
      </c>
      <c r="N82" s="1" t="s">
        <v>42</v>
      </c>
      <c r="O82" s="1" t="n">
        <v>2000</v>
      </c>
      <c r="P82" s="1" t="s">
        <v>43</v>
      </c>
      <c r="Q82" s="1" t="s">
        <v>66</v>
      </c>
      <c r="R82" s="1"/>
      <c r="S82" s="1"/>
      <c r="T82" s="1"/>
      <c r="U82" s="1"/>
      <c r="V82" s="1"/>
      <c r="W82" s="1" t="s">
        <v>45</v>
      </c>
      <c r="X82" s="1" t="s">
        <v>46</v>
      </c>
      <c r="Y82" s="3" t="n">
        <v>44502</v>
      </c>
      <c r="Z82" s="1" t="s">
        <v>47</v>
      </c>
      <c r="AA82" s="1"/>
      <c r="AB82" s="1" t="n">
        <v>1</v>
      </c>
      <c r="AC82" s="1"/>
      <c r="AD82" s="1"/>
      <c r="AE82" s="3"/>
      <c r="AF82" s="1"/>
      <c r="AG82" s="1"/>
    </row>
    <row r="83" s="5" customFormat="true" ht="12.75" hidden="false" customHeight="true" outlineLevel="0" collapsed="false">
      <c r="A83" s="1" t="n">
        <v>82</v>
      </c>
      <c r="B83" s="2" t="n">
        <v>1.08200000000001</v>
      </c>
      <c r="C83" s="1" t="n">
        <v>1</v>
      </c>
      <c r="D83" s="1" t="s">
        <v>34</v>
      </c>
      <c r="E83" s="1" t="s">
        <v>35</v>
      </c>
      <c r="F83" s="1" t="s">
        <v>36</v>
      </c>
      <c r="G83" s="1" t="s">
        <v>100</v>
      </c>
      <c r="H83" s="1" t="s">
        <v>35</v>
      </c>
      <c r="I83" s="1" t="s">
        <v>35</v>
      </c>
      <c r="J83" s="1" t="s">
        <v>142</v>
      </c>
      <c r="K83" s="1" t="s">
        <v>141</v>
      </c>
      <c r="L83" s="1" t="s">
        <v>40</v>
      </c>
      <c r="M83" s="1" t="s">
        <v>41</v>
      </c>
      <c r="N83" s="1" t="s">
        <v>42</v>
      </c>
      <c r="O83" s="1" t="n">
        <v>2000</v>
      </c>
      <c r="P83" s="1" t="s">
        <v>43</v>
      </c>
      <c r="Q83" s="1" t="s">
        <v>66</v>
      </c>
      <c r="R83" s="1"/>
      <c r="S83" s="1"/>
      <c r="T83" s="1"/>
      <c r="U83" s="1"/>
      <c r="V83" s="1"/>
      <c r="W83" s="1" t="s">
        <v>45</v>
      </c>
      <c r="X83" s="1" t="s">
        <v>46</v>
      </c>
      <c r="Y83" s="3" t="n">
        <v>44502</v>
      </c>
      <c r="Z83" s="1" t="s">
        <v>47</v>
      </c>
      <c r="AA83" s="1"/>
      <c r="AB83" s="1" t="n">
        <v>1</v>
      </c>
      <c r="AC83" s="1"/>
      <c r="AD83" s="1"/>
      <c r="AE83" s="3"/>
      <c r="AF83" s="1"/>
      <c r="AG83" s="1"/>
    </row>
    <row r="84" s="5" customFormat="true" ht="12.75" hidden="false" customHeight="true" outlineLevel="0" collapsed="false">
      <c r="A84" s="1" t="n">
        <v>83</v>
      </c>
      <c r="B84" s="2" t="n">
        <v>1.08300000000001</v>
      </c>
      <c r="C84" s="1" t="n">
        <v>1</v>
      </c>
      <c r="D84" s="1" t="s">
        <v>34</v>
      </c>
      <c r="E84" s="1" t="s">
        <v>35</v>
      </c>
      <c r="F84" s="1" t="s">
        <v>36</v>
      </c>
      <c r="G84" s="1" t="s">
        <v>100</v>
      </c>
      <c r="H84" s="1" t="s">
        <v>35</v>
      </c>
      <c r="I84" s="1" t="s">
        <v>35</v>
      </c>
      <c r="J84" s="1" t="s">
        <v>143</v>
      </c>
      <c r="K84" s="1" t="s">
        <v>39</v>
      </c>
      <c r="L84" s="1" t="s">
        <v>40</v>
      </c>
      <c r="M84" s="1" t="s">
        <v>41</v>
      </c>
      <c r="N84" s="1" t="s">
        <v>42</v>
      </c>
      <c r="O84" s="1" t="n">
        <v>2000</v>
      </c>
      <c r="P84" s="1" t="s">
        <v>43</v>
      </c>
      <c r="Q84" s="1" t="s">
        <v>66</v>
      </c>
      <c r="R84" s="1"/>
      <c r="S84" s="1"/>
      <c r="T84" s="1"/>
      <c r="U84" s="1"/>
      <c r="V84" s="1"/>
      <c r="W84" s="1" t="s">
        <v>45</v>
      </c>
      <c r="X84" s="1" t="s">
        <v>46</v>
      </c>
      <c r="Y84" s="3" t="n">
        <v>44502</v>
      </c>
      <c r="Z84" s="1" t="s">
        <v>47</v>
      </c>
      <c r="AA84" s="1"/>
      <c r="AB84" s="1" t="n">
        <v>1</v>
      </c>
      <c r="AC84" s="1"/>
      <c r="AD84" s="1"/>
      <c r="AE84" s="3"/>
      <c r="AF84" s="1"/>
      <c r="AG84" s="1"/>
    </row>
    <row r="85" s="5" customFormat="true" ht="12.75" hidden="false" customHeight="true" outlineLevel="0" collapsed="false">
      <c r="A85" s="1" t="n">
        <v>84</v>
      </c>
      <c r="B85" s="2" t="n">
        <v>1.08400000000001</v>
      </c>
      <c r="C85" s="1" t="n">
        <v>1</v>
      </c>
      <c r="D85" s="1" t="s">
        <v>34</v>
      </c>
      <c r="E85" s="1" t="s">
        <v>35</v>
      </c>
      <c r="F85" s="1" t="s">
        <v>36</v>
      </c>
      <c r="G85" s="1" t="s">
        <v>100</v>
      </c>
      <c r="H85" s="1" t="s">
        <v>35</v>
      </c>
      <c r="I85" s="1" t="s">
        <v>35</v>
      </c>
      <c r="J85" s="1" t="s">
        <v>144</v>
      </c>
      <c r="K85" s="1" t="s">
        <v>39</v>
      </c>
      <c r="L85" s="1" t="s">
        <v>40</v>
      </c>
      <c r="M85" s="1" t="s">
        <v>41</v>
      </c>
      <c r="N85" s="1" t="s">
        <v>42</v>
      </c>
      <c r="O85" s="1" t="n">
        <v>2000</v>
      </c>
      <c r="P85" s="1" t="s">
        <v>43</v>
      </c>
      <c r="Q85" s="1" t="s">
        <v>66</v>
      </c>
      <c r="R85" s="1"/>
      <c r="S85" s="1"/>
      <c r="T85" s="1"/>
      <c r="U85" s="1"/>
      <c r="V85" s="1"/>
      <c r="W85" s="1" t="s">
        <v>45</v>
      </c>
      <c r="X85" s="1" t="s">
        <v>46</v>
      </c>
      <c r="Y85" s="3" t="n">
        <v>44502</v>
      </c>
      <c r="Z85" s="1" t="s">
        <v>47</v>
      </c>
      <c r="AA85" s="1"/>
      <c r="AB85" s="1" t="n">
        <v>1</v>
      </c>
      <c r="AC85" s="1"/>
      <c r="AD85" s="1"/>
      <c r="AE85" s="3"/>
      <c r="AF85" s="1"/>
      <c r="AG85" s="1"/>
    </row>
    <row r="86" s="5" customFormat="true" ht="12.75" hidden="false" customHeight="true" outlineLevel="0" collapsed="false">
      <c r="A86" s="1" t="n">
        <v>85</v>
      </c>
      <c r="B86" s="2" t="n">
        <v>1.08500000000001</v>
      </c>
      <c r="C86" s="1" t="n">
        <v>1</v>
      </c>
      <c r="D86" s="1" t="s">
        <v>34</v>
      </c>
      <c r="E86" s="1" t="s">
        <v>35</v>
      </c>
      <c r="F86" s="1" t="s">
        <v>36</v>
      </c>
      <c r="G86" s="1" t="s">
        <v>100</v>
      </c>
      <c r="H86" s="1" t="s">
        <v>35</v>
      </c>
      <c r="I86" s="1" t="s">
        <v>35</v>
      </c>
      <c r="J86" s="1" t="s">
        <v>145</v>
      </c>
      <c r="K86" s="1" t="s">
        <v>39</v>
      </c>
      <c r="L86" s="1" t="s">
        <v>40</v>
      </c>
      <c r="M86" s="1" t="s">
        <v>41</v>
      </c>
      <c r="N86" s="1" t="s">
        <v>42</v>
      </c>
      <c r="O86" s="1" t="n">
        <v>2000</v>
      </c>
      <c r="P86" s="1" t="s">
        <v>43</v>
      </c>
      <c r="Q86" s="1" t="s">
        <v>66</v>
      </c>
      <c r="R86" s="1"/>
      <c r="S86" s="1"/>
      <c r="T86" s="1"/>
      <c r="U86" s="1"/>
      <c r="V86" s="1"/>
      <c r="W86" s="1" t="s">
        <v>45</v>
      </c>
      <c r="X86" s="1" t="s">
        <v>46</v>
      </c>
      <c r="Y86" s="3" t="n">
        <v>44502</v>
      </c>
      <c r="Z86" s="1" t="s">
        <v>47</v>
      </c>
      <c r="AA86" s="1"/>
      <c r="AB86" s="1" t="n">
        <v>1</v>
      </c>
      <c r="AC86" s="1"/>
      <c r="AD86" s="1"/>
      <c r="AE86" s="3"/>
      <c r="AF86" s="1"/>
      <c r="AG86" s="1"/>
    </row>
    <row r="87" s="5" customFormat="true" ht="12.75" hidden="false" customHeight="true" outlineLevel="0" collapsed="false">
      <c r="A87" s="1" t="n">
        <v>86</v>
      </c>
      <c r="B87" s="2" t="n">
        <v>1.08600000000001</v>
      </c>
      <c r="C87" s="1" t="n">
        <v>1</v>
      </c>
      <c r="D87" s="1" t="s">
        <v>34</v>
      </c>
      <c r="E87" s="1" t="s">
        <v>35</v>
      </c>
      <c r="F87" s="1" t="s">
        <v>36</v>
      </c>
      <c r="G87" s="1" t="s">
        <v>100</v>
      </c>
      <c r="H87" s="1" t="s">
        <v>35</v>
      </c>
      <c r="I87" s="1" t="s">
        <v>35</v>
      </c>
      <c r="J87" s="1" t="s">
        <v>146</v>
      </c>
      <c r="K87" s="1" t="s">
        <v>39</v>
      </c>
      <c r="L87" s="1" t="s">
        <v>40</v>
      </c>
      <c r="M87" s="1" t="s">
        <v>41</v>
      </c>
      <c r="N87" s="1" t="s">
        <v>42</v>
      </c>
      <c r="O87" s="1" t="n">
        <v>2000</v>
      </c>
      <c r="P87" s="1" t="s">
        <v>43</v>
      </c>
      <c r="Q87" s="1" t="s">
        <v>66</v>
      </c>
      <c r="R87" s="1"/>
      <c r="S87" s="1"/>
      <c r="T87" s="1"/>
      <c r="U87" s="1"/>
      <c r="V87" s="1"/>
      <c r="W87" s="1" t="s">
        <v>45</v>
      </c>
      <c r="X87" s="1" t="s">
        <v>46</v>
      </c>
      <c r="Y87" s="3" t="n">
        <v>44502</v>
      </c>
      <c r="Z87" s="1" t="s">
        <v>47</v>
      </c>
      <c r="AA87" s="1"/>
      <c r="AB87" s="1" t="n">
        <v>1</v>
      </c>
      <c r="AC87" s="1"/>
      <c r="AD87" s="1"/>
      <c r="AE87" s="3"/>
      <c r="AF87" s="1"/>
      <c r="AG87" s="1"/>
    </row>
    <row r="88" s="5" customFormat="true" ht="12.75" hidden="false" customHeight="true" outlineLevel="0" collapsed="false">
      <c r="A88" s="1" t="n">
        <v>87</v>
      </c>
      <c r="B88" s="2" t="n">
        <v>1.08700000000001</v>
      </c>
      <c r="C88" s="1" t="n">
        <v>1</v>
      </c>
      <c r="D88" s="1" t="s">
        <v>34</v>
      </c>
      <c r="E88" s="1" t="s">
        <v>35</v>
      </c>
      <c r="F88" s="1" t="s">
        <v>36</v>
      </c>
      <c r="G88" s="1" t="s">
        <v>100</v>
      </c>
      <c r="H88" s="1" t="s">
        <v>35</v>
      </c>
      <c r="I88" s="1" t="s">
        <v>35</v>
      </c>
      <c r="J88" s="1" t="s">
        <v>147</v>
      </c>
      <c r="K88" s="1" t="s">
        <v>39</v>
      </c>
      <c r="L88" s="1" t="s">
        <v>40</v>
      </c>
      <c r="M88" s="1" t="s">
        <v>41</v>
      </c>
      <c r="N88" s="1" t="s">
        <v>42</v>
      </c>
      <c r="O88" s="1" t="n">
        <v>2000</v>
      </c>
      <c r="P88" s="1" t="s">
        <v>43</v>
      </c>
      <c r="Q88" s="1" t="s">
        <v>66</v>
      </c>
      <c r="R88" s="1"/>
      <c r="S88" s="1"/>
      <c r="T88" s="1"/>
      <c r="U88" s="1"/>
      <c r="V88" s="1"/>
      <c r="W88" s="1" t="s">
        <v>45</v>
      </c>
      <c r="X88" s="1" t="s">
        <v>46</v>
      </c>
      <c r="Y88" s="3" t="n">
        <v>44502</v>
      </c>
      <c r="Z88" s="1" t="s">
        <v>47</v>
      </c>
      <c r="AA88" s="1"/>
      <c r="AB88" s="1" t="n">
        <v>1</v>
      </c>
      <c r="AC88" s="1"/>
      <c r="AD88" s="1"/>
      <c r="AE88" s="3"/>
      <c r="AF88" s="1"/>
      <c r="AG88" s="1"/>
    </row>
    <row r="89" s="5" customFormat="true" ht="12.75" hidden="false" customHeight="true" outlineLevel="0" collapsed="false">
      <c r="A89" s="1" t="n">
        <v>88</v>
      </c>
      <c r="B89" s="2" t="n">
        <v>1.08800000000001</v>
      </c>
      <c r="C89" s="1" t="n">
        <v>1</v>
      </c>
      <c r="D89" s="1" t="s">
        <v>34</v>
      </c>
      <c r="E89" s="1" t="s">
        <v>35</v>
      </c>
      <c r="F89" s="1" t="s">
        <v>36</v>
      </c>
      <c r="G89" s="1" t="s">
        <v>100</v>
      </c>
      <c r="H89" s="1" t="s">
        <v>35</v>
      </c>
      <c r="I89" s="1" t="s">
        <v>35</v>
      </c>
      <c r="J89" s="1" t="s">
        <v>148</v>
      </c>
      <c r="K89" s="1" t="s">
        <v>39</v>
      </c>
      <c r="L89" s="1" t="s">
        <v>40</v>
      </c>
      <c r="M89" s="1" t="s">
        <v>41</v>
      </c>
      <c r="N89" s="1" t="s">
        <v>42</v>
      </c>
      <c r="O89" s="1" t="n">
        <v>2000</v>
      </c>
      <c r="P89" s="1" t="s">
        <v>43</v>
      </c>
      <c r="Q89" s="1" t="s">
        <v>66</v>
      </c>
      <c r="R89" s="1"/>
      <c r="S89" s="1"/>
      <c r="T89" s="1"/>
      <c r="U89" s="1"/>
      <c r="V89" s="1"/>
      <c r="W89" s="1" t="s">
        <v>45</v>
      </c>
      <c r="X89" s="1" t="s">
        <v>46</v>
      </c>
      <c r="Y89" s="3" t="n">
        <v>44502</v>
      </c>
      <c r="Z89" s="1" t="s">
        <v>47</v>
      </c>
      <c r="AA89" s="1"/>
      <c r="AB89" s="1" t="n">
        <v>1</v>
      </c>
      <c r="AC89" s="1"/>
      <c r="AD89" s="1"/>
      <c r="AE89" s="3"/>
      <c r="AF89" s="1"/>
      <c r="AG89" s="1"/>
    </row>
    <row r="90" s="5" customFormat="true" ht="12.75" hidden="false" customHeight="true" outlineLevel="0" collapsed="false">
      <c r="A90" s="1" t="n">
        <v>89</v>
      </c>
      <c r="B90" s="2" t="n">
        <v>1.08900000000001</v>
      </c>
      <c r="C90" s="1" t="n">
        <v>1</v>
      </c>
      <c r="D90" s="1" t="s">
        <v>34</v>
      </c>
      <c r="E90" s="1" t="s">
        <v>35</v>
      </c>
      <c r="F90" s="1" t="s">
        <v>36</v>
      </c>
      <c r="G90" s="1" t="s">
        <v>149</v>
      </c>
      <c r="H90" s="1" t="s">
        <v>35</v>
      </c>
      <c r="I90" s="1" t="s">
        <v>35</v>
      </c>
      <c r="J90" s="1" t="s">
        <v>150</v>
      </c>
      <c r="K90" s="1" t="s">
        <v>141</v>
      </c>
      <c r="L90" s="1" t="s">
        <v>40</v>
      </c>
      <c r="M90" s="1" t="s">
        <v>41</v>
      </c>
      <c r="N90" s="1" t="s">
        <v>42</v>
      </c>
      <c r="O90" s="1" t="n">
        <v>2000</v>
      </c>
      <c r="P90" s="1" t="s">
        <v>43</v>
      </c>
      <c r="Q90" s="1" t="s">
        <v>66</v>
      </c>
      <c r="R90" s="1"/>
      <c r="S90" s="1"/>
      <c r="T90" s="1"/>
      <c r="U90" s="1"/>
      <c r="V90" s="1"/>
      <c r="W90" s="1" t="s">
        <v>45</v>
      </c>
      <c r="X90" s="1" t="s">
        <v>46</v>
      </c>
      <c r="Y90" s="3" t="n">
        <v>44502</v>
      </c>
      <c r="Z90" s="1" t="s">
        <v>47</v>
      </c>
      <c r="AA90" s="1"/>
      <c r="AB90" s="1" t="n">
        <v>1</v>
      </c>
      <c r="AC90" s="1"/>
      <c r="AD90" s="1"/>
      <c r="AE90" s="3"/>
      <c r="AF90" s="1"/>
      <c r="AG90" s="1"/>
    </row>
    <row r="91" s="5" customFormat="true" ht="12.75" hidden="false" customHeight="true" outlineLevel="0" collapsed="false">
      <c r="A91" s="1" t="n">
        <v>90</v>
      </c>
      <c r="B91" s="2" t="n">
        <v>1.09000000000001</v>
      </c>
      <c r="C91" s="1" t="n">
        <v>1</v>
      </c>
      <c r="D91" s="1" t="s">
        <v>34</v>
      </c>
      <c r="E91" s="1" t="s">
        <v>35</v>
      </c>
      <c r="F91" s="1" t="s">
        <v>36</v>
      </c>
      <c r="G91" s="1" t="s">
        <v>149</v>
      </c>
      <c r="H91" s="1" t="s">
        <v>35</v>
      </c>
      <c r="I91" s="1" t="s">
        <v>35</v>
      </c>
      <c r="J91" s="1" t="s">
        <v>151</v>
      </c>
      <c r="K91" s="1" t="s">
        <v>39</v>
      </c>
      <c r="L91" s="1" t="s">
        <v>40</v>
      </c>
      <c r="M91" s="1" t="s">
        <v>41</v>
      </c>
      <c r="N91" s="1" t="s">
        <v>42</v>
      </c>
      <c r="O91" s="1" t="n">
        <v>2000</v>
      </c>
      <c r="P91" s="1" t="s">
        <v>43</v>
      </c>
      <c r="Q91" s="1" t="s">
        <v>66</v>
      </c>
      <c r="R91" s="1"/>
      <c r="S91" s="1"/>
      <c r="T91" s="1"/>
      <c r="U91" s="1"/>
      <c r="V91" s="1"/>
      <c r="W91" s="1" t="s">
        <v>45</v>
      </c>
      <c r="X91" s="1" t="s">
        <v>46</v>
      </c>
      <c r="Y91" s="3" t="n">
        <v>44502</v>
      </c>
      <c r="Z91" s="1" t="s">
        <v>47</v>
      </c>
      <c r="AA91" s="1"/>
      <c r="AB91" s="1" t="n">
        <v>1</v>
      </c>
      <c r="AC91" s="1"/>
      <c r="AD91" s="1"/>
      <c r="AE91" s="3"/>
      <c r="AF91" s="1"/>
      <c r="AG91" s="1"/>
    </row>
    <row r="92" s="5" customFormat="true" ht="12.75" hidden="false" customHeight="true" outlineLevel="0" collapsed="false">
      <c r="A92" s="1" t="n">
        <v>91</v>
      </c>
      <c r="B92" s="2" t="n">
        <v>1.09100000000001</v>
      </c>
      <c r="C92" s="1" t="n">
        <v>1</v>
      </c>
      <c r="D92" s="1" t="s">
        <v>34</v>
      </c>
      <c r="E92" s="1" t="s">
        <v>35</v>
      </c>
      <c r="F92" s="1" t="s">
        <v>36</v>
      </c>
      <c r="G92" s="1" t="s">
        <v>149</v>
      </c>
      <c r="H92" s="1" t="s">
        <v>35</v>
      </c>
      <c r="I92" s="1" t="s">
        <v>35</v>
      </c>
      <c r="J92" s="1" t="s">
        <v>152</v>
      </c>
      <c r="K92" s="1" t="s">
        <v>39</v>
      </c>
      <c r="L92" s="1" t="s">
        <v>40</v>
      </c>
      <c r="M92" s="1" t="s">
        <v>41</v>
      </c>
      <c r="N92" s="1" t="s">
        <v>42</v>
      </c>
      <c r="O92" s="1" t="n">
        <v>2000</v>
      </c>
      <c r="P92" s="1" t="s">
        <v>43</v>
      </c>
      <c r="Q92" s="1" t="s">
        <v>66</v>
      </c>
      <c r="R92" s="1"/>
      <c r="S92" s="1"/>
      <c r="T92" s="1"/>
      <c r="U92" s="1"/>
      <c r="V92" s="1"/>
      <c r="W92" s="1" t="s">
        <v>45</v>
      </c>
      <c r="X92" s="1" t="s">
        <v>46</v>
      </c>
      <c r="Y92" s="3" t="n">
        <v>44502</v>
      </c>
      <c r="Z92" s="1" t="s">
        <v>47</v>
      </c>
      <c r="AA92" s="1"/>
      <c r="AB92" s="1" t="n">
        <v>1</v>
      </c>
      <c r="AC92" s="1"/>
      <c r="AD92" s="1"/>
      <c r="AE92" s="3"/>
      <c r="AF92" s="1"/>
      <c r="AG92" s="1"/>
    </row>
    <row r="93" s="5" customFormat="true" ht="12.75" hidden="false" customHeight="true" outlineLevel="0" collapsed="false">
      <c r="A93" s="1" t="n">
        <v>92</v>
      </c>
      <c r="B93" s="2" t="n">
        <v>1.09200000000001</v>
      </c>
      <c r="C93" s="1" t="n">
        <v>1</v>
      </c>
      <c r="D93" s="1" t="s">
        <v>34</v>
      </c>
      <c r="E93" s="1" t="s">
        <v>35</v>
      </c>
      <c r="F93" s="1" t="s">
        <v>36</v>
      </c>
      <c r="G93" s="1" t="s">
        <v>149</v>
      </c>
      <c r="H93" s="1" t="s">
        <v>35</v>
      </c>
      <c r="I93" s="1" t="s">
        <v>35</v>
      </c>
      <c r="J93" s="1" t="s">
        <v>153</v>
      </c>
      <c r="K93" s="1" t="s">
        <v>141</v>
      </c>
      <c r="L93" s="1" t="s">
        <v>40</v>
      </c>
      <c r="M93" s="1" t="s">
        <v>41</v>
      </c>
      <c r="N93" s="1" t="s">
        <v>42</v>
      </c>
      <c r="O93" s="1" t="n">
        <v>2000</v>
      </c>
      <c r="P93" s="1" t="s">
        <v>43</v>
      </c>
      <c r="Q93" s="1" t="s">
        <v>66</v>
      </c>
      <c r="R93" s="1"/>
      <c r="S93" s="1"/>
      <c r="T93" s="1"/>
      <c r="U93" s="1"/>
      <c r="V93" s="1"/>
      <c r="W93" s="1" t="s">
        <v>45</v>
      </c>
      <c r="X93" s="1" t="s">
        <v>46</v>
      </c>
      <c r="Y93" s="3" t="n">
        <v>44502</v>
      </c>
      <c r="Z93" s="1" t="s">
        <v>47</v>
      </c>
      <c r="AA93" s="1"/>
      <c r="AB93" s="1" t="n">
        <v>1</v>
      </c>
      <c r="AC93" s="1"/>
      <c r="AD93" s="1"/>
      <c r="AE93" s="3"/>
      <c r="AF93" s="1"/>
      <c r="AG93" s="1"/>
    </row>
    <row r="94" s="5" customFormat="true" ht="12.75" hidden="false" customHeight="true" outlineLevel="0" collapsed="false">
      <c r="A94" s="1" t="n">
        <v>93</v>
      </c>
      <c r="B94" s="2" t="n">
        <v>1.09300000000001</v>
      </c>
      <c r="C94" s="1" t="n">
        <v>1</v>
      </c>
      <c r="D94" s="1" t="s">
        <v>34</v>
      </c>
      <c r="E94" s="1" t="s">
        <v>35</v>
      </c>
      <c r="F94" s="1" t="s">
        <v>36</v>
      </c>
      <c r="G94" s="1" t="s">
        <v>149</v>
      </c>
      <c r="H94" s="1" t="s">
        <v>35</v>
      </c>
      <c r="I94" s="1" t="s">
        <v>35</v>
      </c>
      <c r="J94" s="1" t="s">
        <v>154</v>
      </c>
      <c r="K94" s="1" t="s">
        <v>39</v>
      </c>
      <c r="L94" s="1" t="s">
        <v>40</v>
      </c>
      <c r="M94" s="1" t="s">
        <v>41</v>
      </c>
      <c r="N94" s="1" t="s">
        <v>42</v>
      </c>
      <c r="O94" s="1" t="n">
        <v>2000</v>
      </c>
      <c r="P94" s="1" t="s">
        <v>43</v>
      </c>
      <c r="Q94" s="1" t="s">
        <v>66</v>
      </c>
      <c r="R94" s="1"/>
      <c r="S94" s="1"/>
      <c r="T94" s="1"/>
      <c r="U94" s="1"/>
      <c r="V94" s="1"/>
      <c r="W94" s="1" t="s">
        <v>45</v>
      </c>
      <c r="X94" s="1" t="s">
        <v>46</v>
      </c>
      <c r="Y94" s="3" t="n">
        <v>44502</v>
      </c>
      <c r="Z94" s="1" t="s">
        <v>47</v>
      </c>
      <c r="AA94" s="1"/>
      <c r="AB94" s="1" t="n">
        <v>1</v>
      </c>
      <c r="AC94" s="1"/>
      <c r="AD94" s="1"/>
      <c r="AE94" s="3"/>
      <c r="AF94" s="1"/>
      <c r="AG94" s="1"/>
    </row>
    <row r="95" s="5" customFormat="true" ht="12.75" hidden="false" customHeight="true" outlineLevel="0" collapsed="false">
      <c r="A95" s="1" t="n">
        <v>94</v>
      </c>
      <c r="B95" s="2" t="n">
        <v>1.09400000000001</v>
      </c>
      <c r="C95" s="1" t="n">
        <v>1</v>
      </c>
      <c r="D95" s="1" t="s">
        <v>34</v>
      </c>
      <c r="E95" s="1" t="s">
        <v>35</v>
      </c>
      <c r="F95" s="1" t="s">
        <v>36</v>
      </c>
      <c r="G95" s="1" t="s">
        <v>149</v>
      </c>
      <c r="H95" s="1" t="s">
        <v>35</v>
      </c>
      <c r="I95" s="1" t="s">
        <v>35</v>
      </c>
      <c r="J95" s="1" t="s">
        <v>155</v>
      </c>
      <c r="K95" s="1" t="s">
        <v>39</v>
      </c>
      <c r="L95" s="1" t="s">
        <v>40</v>
      </c>
      <c r="M95" s="1" t="s">
        <v>41</v>
      </c>
      <c r="N95" s="1" t="s">
        <v>42</v>
      </c>
      <c r="O95" s="1" t="n">
        <v>2000</v>
      </c>
      <c r="P95" s="1" t="s">
        <v>43</v>
      </c>
      <c r="Q95" s="1" t="s">
        <v>66</v>
      </c>
      <c r="R95" s="1"/>
      <c r="S95" s="1"/>
      <c r="T95" s="1"/>
      <c r="U95" s="1"/>
      <c r="V95" s="1"/>
      <c r="W95" s="1" t="s">
        <v>45</v>
      </c>
      <c r="X95" s="1" t="s">
        <v>46</v>
      </c>
      <c r="Y95" s="3" t="n">
        <v>44502</v>
      </c>
      <c r="Z95" s="1" t="s">
        <v>47</v>
      </c>
      <c r="AA95" s="1"/>
      <c r="AB95" s="1" t="n">
        <v>1</v>
      </c>
      <c r="AC95" s="1"/>
      <c r="AD95" s="1"/>
      <c r="AE95" s="3"/>
      <c r="AF95" s="1"/>
      <c r="AG95" s="1"/>
    </row>
    <row r="96" s="5" customFormat="true" ht="12.75" hidden="false" customHeight="true" outlineLevel="0" collapsed="false">
      <c r="A96" s="1" t="n">
        <v>95</v>
      </c>
      <c r="B96" s="2" t="n">
        <v>1.09500000000001</v>
      </c>
      <c r="C96" s="1" t="n">
        <v>1</v>
      </c>
      <c r="D96" s="1" t="s">
        <v>34</v>
      </c>
      <c r="E96" s="1" t="s">
        <v>35</v>
      </c>
      <c r="F96" s="1" t="s">
        <v>36</v>
      </c>
      <c r="G96" s="1" t="s">
        <v>149</v>
      </c>
      <c r="H96" s="1" t="s">
        <v>35</v>
      </c>
      <c r="I96" s="1" t="s">
        <v>35</v>
      </c>
      <c r="J96" s="1" t="s">
        <v>156</v>
      </c>
      <c r="K96" s="1" t="s">
        <v>141</v>
      </c>
      <c r="L96" s="1" t="s">
        <v>40</v>
      </c>
      <c r="M96" s="1" t="s">
        <v>41</v>
      </c>
      <c r="N96" s="1" t="s">
        <v>42</v>
      </c>
      <c r="O96" s="1" t="n">
        <v>2000</v>
      </c>
      <c r="P96" s="1" t="s">
        <v>43</v>
      </c>
      <c r="Q96" s="1" t="s">
        <v>66</v>
      </c>
      <c r="R96" s="1"/>
      <c r="S96" s="1"/>
      <c r="T96" s="1"/>
      <c r="U96" s="1"/>
      <c r="V96" s="1"/>
      <c r="W96" s="1" t="s">
        <v>45</v>
      </c>
      <c r="X96" s="1" t="s">
        <v>46</v>
      </c>
      <c r="Y96" s="3" t="n">
        <v>44502</v>
      </c>
      <c r="Z96" s="1" t="s">
        <v>47</v>
      </c>
      <c r="AA96" s="1"/>
      <c r="AB96" s="1" t="n">
        <v>1</v>
      </c>
      <c r="AC96" s="1"/>
      <c r="AD96" s="1"/>
      <c r="AE96" s="3"/>
      <c r="AF96" s="1"/>
      <c r="AG96" s="1"/>
    </row>
    <row r="97" s="5" customFormat="true" ht="12.75" hidden="false" customHeight="true" outlineLevel="0" collapsed="false">
      <c r="A97" s="1" t="n">
        <v>96</v>
      </c>
      <c r="B97" s="2" t="n">
        <v>1.09600000000001</v>
      </c>
      <c r="C97" s="1" t="n">
        <v>1</v>
      </c>
      <c r="D97" s="1" t="s">
        <v>34</v>
      </c>
      <c r="E97" s="1" t="s">
        <v>35</v>
      </c>
      <c r="F97" s="1" t="s">
        <v>36</v>
      </c>
      <c r="G97" s="1" t="s">
        <v>149</v>
      </c>
      <c r="H97" s="1" t="s">
        <v>35</v>
      </c>
      <c r="I97" s="1" t="s">
        <v>35</v>
      </c>
      <c r="J97" s="1" t="s">
        <v>157</v>
      </c>
      <c r="K97" s="1" t="s">
        <v>39</v>
      </c>
      <c r="L97" s="1" t="s">
        <v>40</v>
      </c>
      <c r="M97" s="1" t="s">
        <v>41</v>
      </c>
      <c r="N97" s="1" t="s">
        <v>42</v>
      </c>
      <c r="O97" s="1" t="n">
        <v>2000</v>
      </c>
      <c r="P97" s="1" t="s">
        <v>43</v>
      </c>
      <c r="Q97" s="1" t="s">
        <v>66</v>
      </c>
      <c r="R97" s="1"/>
      <c r="S97" s="1"/>
      <c r="T97" s="1"/>
      <c r="U97" s="1"/>
      <c r="V97" s="1"/>
      <c r="W97" s="1" t="s">
        <v>45</v>
      </c>
      <c r="X97" s="1" t="s">
        <v>46</v>
      </c>
      <c r="Y97" s="3" t="n">
        <v>44502</v>
      </c>
      <c r="Z97" s="1" t="s">
        <v>47</v>
      </c>
      <c r="AA97" s="1"/>
      <c r="AB97" s="1" t="n">
        <v>1</v>
      </c>
      <c r="AC97" s="1"/>
      <c r="AD97" s="1"/>
      <c r="AE97" s="3"/>
      <c r="AF97" s="1"/>
      <c r="AG97" s="1"/>
    </row>
    <row r="98" s="5" customFormat="true" ht="12.75" hidden="false" customHeight="true" outlineLevel="0" collapsed="false">
      <c r="A98" s="1" t="n">
        <v>97</v>
      </c>
      <c r="B98" s="2" t="n">
        <v>1.09700000000001</v>
      </c>
      <c r="C98" s="1" t="n">
        <v>1</v>
      </c>
      <c r="D98" s="1" t="s">
        <v>34</v>
      </c>
      <c r="E98" s="1" t="s">
        <v>35</v>
      </c>
      <c r="F98" s="1" t="s">
        <v>36</v>
      </c>
      <c r="G98" s="1" t="s">
        <v>149</v>
      </c>
      <c r="H98" s="1" t="s">
        <v>35</v>
      </c>
      <c r="I98" s="1" t="s">
        <v>35</v>
      </c>
      <c r="J98" s="1" t="s">
        <v>158</v>
      </c>
      <c r="K98" s="1" t="s">
        <v>52</v>
      </c>
      <c r="L98" s="1" t="s">
        <v>40</v>
      </c>
      <c r="M98" s="1" t="n">
        <v>28</v>
      </c>
      <c r="N98" s="1" t="s">
        <v>42</v>
      </c>
      <c r="O98" s="1" t="n">
        <v>2000</v>
      </c>
      <c r="P98" s="1" t="s">
        <v>43</v>
      </c>
      <c r="Q98" s="1" t="s">
        <v>66</v>
      </c>
      <c r="R98" s="1"/>
      <c r="S98" s="1"/>
      <c r="T98" s="1"/>
      <c r="U98" s="1"/>
      <c r="V98" s="1"/>
      <c r="W98" s="1" t="s">
        <v>45</v>
      </c>
      <c r="X98" s="1" t="s">
        <v>46</v>
      </c>
      <c r="Y98" s="3" t="n">
        <v>44502</v>
      </c>
      <c r="Z98" s="1" t="s">
        <v>47</v>
      </c>
      <c r="AA98" s="1"/>
      <c r="AB98" s="1" t="n">
        <v>1</v>
      </c>
      <c r="AC98" s="1"/>
      <c r="AD98" s="1"/>
      <c r="AE98" s="3"/>
      <c r="AF98" s="1"/>
      <c r="AG98" s="1"/>
    </row>
    <row r="99" s="5" customFormat="true" ht="12.75" hidden="false" customHeight="true" outlineLevel="0" collapsed="false">
      <c r="A99" s="1" t="n">
        <v>98</v>
      </c>
      <c r="B99" s="2" t="n">
        <v>1.09800000000001</v>
      </c>
      <c r="C99" s="1" t="n">
        <v>1</v>
      </c>
      <c r="D99" s="1" t="s">
        <v>34</v>
      </c>
      <c r="E99" s="1" t="s">
        <v>35</v>
      </c>
      <c r="F99" s="1" t="s">
        <v>36</v>
      </c>
      <c r="G99" s="1" t="s">
        <v>149</v>
      </c>
      <c r="H99" s="1" t="s">
        <v>35</v>
      </c>
      <c r="I99" s="1" t="s">
        <v>35</v>
      </c>
      <c r="J99" s="1" t="s">
        <v>159</v>
      </c>
      <c r="K99" s="1" t="s">
        <v>52</v>
      </c>
      <c r="L99" s="1" t="s">
        <v>40</v>
      </c>
      <c r="M99" s="1" t="n">
        <v>28</v>
      </c>
      <c r="N99" s="1" t="s">
        <v>42</v>
      </c>
      <c r="O99" s="1" t="n">
        <v>2000</v>
      </c>
      <c r="P99" s="1" t="s">
        <v>43</v>
      </c>
      <c r="Q99" s="1" t="s">
        <v>66</v>
      </c>
      <c r="R99" s="1"/>
      <c r="S99" s="1"/>
      <c r="T99" s="1"/>
      <c r="U99" s="1"/>
      <c r="V99" s="1"/>
      <c r="W99" s="1" t="s">
        <v>45</v>
      </c>
      <c r="X99" s="1" t="s">
        <v>46</v>
      </c>
      <c r="Y99" s="3" t="n">
        <v>44502</v>
      </c>
      <c r="Z99" s="1" t="s">
        <v>47</v>
      </c>
      <c r="AA99" s="1"/>
      <c r="AB99" s="1" t="n">
        <v>1</v>
      </c>
      <c r="AC99" s="1"/>
      <c r="AD99" s="1"/>
      <c r="AE99" s="3"/>
      <c r="AF99" s="1"/>
      <c r="AG99" s="1"/>
    </row>
    <row r="100" s="5" customFormat="true" ht="12.75" hidden="false" customHeight="true" outlineLevel="0" collapsed="false">
      <c r="A100" s="1" t="n">
        <v>99</v>
      </c>
      <c r="B100" s="2" t="n">
        <v>1.09900000000001</v>
      </c>
      <c r="C100" s="1" t="n">
        <v>1</v>
      </c>
      <c r="D100" s="1" t="s">
        <v>34</v>
      </c>
      <c r="E100" s="1" t="s">
        <v>35</v>
      </c>
      <c r="F100" s="1" t="s">
        <v>36</v>
      </c>
      <c r="G100" s="1" t="s">
        <v>149</v>
      </c>
      <c r="H100" s="1" t="s">
        <v>35</v>
      </c>
      <c r="I100" s="1" t="s">
        <v>35</v>
      </c>
      <c r="J100" s="1" t="s">
        <v>160</v>
      </c>
      <c r="K100" s="1" t="s">
        <v>52</v>
      </c>
      <c r="L100" s="1" t="s">
        <v>40</v>
      </c>
      <c r="M100" s="1" t="n">
        <v>28</v>
      </c>
      <c r="N100" s="1" t="s">
        <v>42</v>
      </c>
      <c r="O100" s="1" t="n">
        <v>2000</v>
      </c>
      <c r="P100" s="1" t="s">
        <v>43</v>
      </c>
      <c r="Q100" s="1" t="s">
        <v>66</v>
      </c>
      <c r="R100" s="1"/>
      <c r="S100" s="1"/>
      <c r="T100" s="1"/>
      <c r="U100" s="1"/>
      <c r="V100" s="1"/>
      <c r="W100" s="1" t="s">
        <v>45</v>
      </c>
      <c r="X100" s="1" t="s">
        <v>46</v>
      </c>
      <c r="Y100" s="3" t="n">
        <v>44502</v>
      </c>
      <c r="Z100" s="1" t="s">
        <v>47</v>
      </c>
      <c r="AA100" s="1"/>
      <c r="AB100" s="1" t="n">
        <v>1</v>
      </c>
      <c r="AC100" s="1"/>
      <c r="AD100" s="1"/>
      <c r="AE100" s="3"/>
      <c r="AF100" s="1"/>
      <c r="AG100" s="1"/>
    </row>
    <row r="101" customFormat="false" ht="12.75" hidden="false" customHeight="true" outlineLevel="0" collapsed="false">
      <c r="A101" s="1" t="n">
        <v>100</v>
      </c>
      <c r="B101" s="2" t="n">
        <v>1.10000000000001</v>
      </c>
      <c r="C101" s="1" t="n">
        <v>1</v>
      </c>
      <c r="D101" s="1" t="s">
        <v>34</v>
      </c>
      <c r="E101" s="1" t="s">
        <v>35</v>
      </c>
      <c r="F101" s="1" t="s">
        <v>36</v>
      </c>
      <c r="G101" s="1" t="s">
        <v>149</v>
      </c>
      <c r="H101" s="1" t="s">
        <v>35</v>
      </c>
      <c r="I101" s="1" t="s">
        <v>35</v>
      </c>
      <c r="J101" s="1" t="s">
        <v>161</v>
      </c>
      <c r="K101" s="1" t="s">
        <v>52</v>
      </c>
      <c r="L101" s="1" t="s">
        <v>40</v>
      </c>
      <c r="M101" s="1" t="n">
        <v>28</v>
      </c>
      <c r="N101" s="1" t="s">
        <v>42</v>
      </c>
      <c r="O101" s="1" t="n">
        <v>2000</v>
      </c>
      <c r="P101" s="1" t="s">
        <v>43</v>
      </c>
      <c r="Q101" s="1" t="s">
        <v>66</v>
      </c>
      <c r="W101" s="1" t="s">
        <v>45</v>
      </c>
      <c r="X101" s="1" t="s">
        <v>46</v>
      </c>
      <c r="Y101" s="3" t="n">
        <v>44502</v>
      </c>
      <c r="Z101" s="1" t="s">
        <v>47</v>
      </c>
      <c r="AB101" s="1" t="n">
        <v>1</v>
      </c>
      <c r="AH101" s="5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G101"/>
  <conditionalFormatting sqref="G2:G101">
    <cfRule type="expression" priority="2" aboveAverage="0" equalAverage="0" bottom="0" percent="0" rank="0" text="" dxfId="2">
      <formula>LEN(TRIM(G2))=0</formula>
    </cfRule>
  </conditionalFormatting>
  <conditionalFormatting sqref="B2:B1048576">
    <cfRule type="duplicateValues" priority="3" aboveAverage="0" equalAverage="0" bottom="0" percent="0" rank="0" text="" dxfId="3"/>
  </conditionalFormatting>
  <conditionalFormatting sqref="A2:A1048576">
    <cfRule type="duplicateValues" priority="4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5"/>
  <sheetViews>
    <sheetView showFormulas="false" showGridLines="true" showRowColHeaders="true" showZeros="true" rightToLeft="false" tabSelected="false" showOutlineSymbols="true" defaultGridColor="true" view="normal" topLeftCell="C164" colorId="64" zoomScale="115" zoomScaleNormal="115" zoomScalePageLayoutView="100" workbookViewId="0">
      <selection pane="topLeft" activeCell="D180" activeCellId="0" sqref="D180"/>
    </sheetView>
  </sheetViews>
  <sheetFormatPr defaultColWidth="8.73046875" defaultRowHeight="10.5" zeroHeight="false" outlineLevelRow="0" outlineLevelCol="0"/>
  <cols>
    <col collapsed="false" customWidth="false" hidden="false" outlineLevel="0" max="1" min="1" style="6" width="8.73"/>
    <col collapsed="false" customWidth="true" hidden="false" outlineLevel="0" max="2" min="2" style="6" width="9.27"/>
    <col collapsed="false" customWidth="true" hidden="false" outlineLevel="0" max="3" min="3" style="6" width="11.45"/>
    <col collapsed="false" customWidth="true" hidden="false" outlineLevel="0" max="4" min="4" style="6" width="13.73"/>
    <col collapsed="false" customWidth="true" hidden="false" outlineLevel="0" max="5" min="5" style="6" width="8.18"/>
    <col collapsed="false" customWidth="true" hidden="false" outlineLevel="0" max="6" min="6" style="1" width="7.18"/>
    <col collapsed="false" customWidth="false" hidden="false" outlineLevel="0" max="8" min="7" style="6" width="8.73"/>
    <col collapsed="false" customWidth="true" hidden="false" outlineLevel="0" max="9" min="9" style="1" width="7"/>
    <col collapsed="false" customWidth="true" hidden="false" outlineLevel="0" max="10" min="10" style="1" width="11.54"/>
    <col collapsed="false" customWidth="true" hidden="false" outlineLevel="0" max="11" min="11" style="1" width="10.82"/>
    <col collapsed="false" customWidth="true" hidden="false" outlineLevel="0" max="12" min="12" style="6" width="8.45"/>
    <col collapsed="false" customWidth="true" hidden="false" outlineLevel="0" max="13" min="13" style="1" width="10.18"/>
    <col collapsed="false" customWidth="true" hidden="false" outlineLevel="0" max="15" min="14" style="1" width="12.18"/>
    <col collapsed="false" customWidth="false" hidden="false" outlineLevel="0" max="16384" min="16" style="6" width="8.73"/>
  </cols>
  <sheetData>
    <row r="1" customFormat="false" ht="12.65" hidden="false" customHeight="false" outlineLevel="0" collapsed="false">
      <c r="A1" s="6" t="s">
        <v>162</v>
      </c>
      <c r="B1" s="6" t="s">
        <v>163</v>
      </c>
      <c r="C1" s="6" t="s">
        <v>164</v>
      </c>
      <c r="D1" s="6" t="s">
        <v>165</v>
      </c>
      <c r="E1" s="6" t="s">
        <v>166</v>
      </c>
      <c r="F1" s="1" t="s">
        <v>167</v>
      </c>
    </row>
    <row r="2" customFormat="false" ht="10.5" hidden="false" customHeight="false" outlineLevel="0" collapsed="false">
      <c r="A2" s="6" t="s">
        <v>168</v>
      </c>
      <c r="B2" s="7" t="n">
        <v>44439</v>
      </c>
      <c r="C2" s="6" t="n">
        <v>682</v>
      </c>
      <c r="D2" s="6" t="s">
        <v>35</v>
      </c>
      <c r="E2" s="6" t="s">
        <v>169</v>
      </c>
    </row>
    <row r="3" customFormat="false" ht="10.5" hidden="false" customHeight="false" outlineLevel="0" collapsed="false">
      <c r="A3" s="6" t="s">
        <v>170</v>
      </c>
      <c r="B3" s="7" t="n">
        <v>44440</v>
      </c>
      <c r="C3" s="6" t="n">
        <v>1319</v>
      </c>
      <c r="D3" s="6" t="n">
        <f aca="false">C3-C2</f>
        <v>637</v>
      </c>
      <c r="E3" s="6" t="s">
        <v>169</v>
      </c>
    </row>
    <row r="4" customFormat="false" ht="10.5" hidden="false" customHeight="false" outlineLevel="0" collapsed="false">
      <c r="A4" s="6" t="s">
        <v>171</v>
      </c>
      <c r="B4" s="7" t="n">
        <v>44441</v>
      </c>
      <c r="C4" s="6" t="n">
        <v>1630</v>
      </c>
      <c r="D4" s="6" t="n">
        <f aca="false">C4-C3</f>
        <v>311</v>
      </c>
      <c r="E4" s="6" t="s">
        <v>169</v>
      </c>
    </row>
    <row r="5" customFormat="false" ht="10.5" hidden="false" customHeight="false" outlineLevel="0" collapsed="false">
      <c r="A5" s="6" t="s">
        <v>172</v>
      </c>
      <c r="B5" s="7" t="n">
        <v>44442</v>
      </c>
      <c r="C5" s="6" t="n">
        <v>2144</v>
      </c>
      <c r="D5" s="6" t="n">
        <f aca="false">C5-C4</f>
        <v>514</v>
      </c>
      <c r="E5" s="6" t="s">
        <v>169</v>
      </c>
    </row>
    <row r="6" customFormat="false" ht="10.5" hidden="false" customHeight="false" outlineLevel="0" collapsed="false">
      <c r="A6" s="6" t="s">
        <v>173</v>
      </c>
      <c r="B6" s="7" t="n">
        <v>44445</v>
      </c>
      <c r="C6" s="6" t="n">
        <v>2517</v>
      </c>
      <c r="D6" s="6" t="n">
        <f aca="false">C6-C5</f>
        <v>373</v>
      </c>
      <c r="E6" s="6" t="s">
        <v>169</v>
      </c>
    </row>
    <row r="7" customFormat="false" ht="10.5" hidden="false" customHeight="false" outlineLevel="0" collapsed="false">
      <c r="A7" s="6" t="s">
        <v>168</v>
      </c>
      <c r="B7" s="7" t="n">
        <v>44446</v>
      </c>
      <c r="C7" s="6" t="n">
        <v>2809</v>
      </c>
      <c r="D7" s="6" t="n">
        <f aca="false">C7-C6</f>
        <v>292</v>
      </c>
      <c r="E7" s="6" t="s">
        <v>169</v>
      </c>
    </row>
    <row r="8" customFormat="false" ht="10.5" hidden="false" customHeight="false" outlineLevel="0" collapsed="false">
      <c r="A8" s="6" t="s">
        <v>170</v>
      </c>
      <c r="B8" s="7" t="n">
        <v>44447</v>
      </c>
      <c r="C8" s="6" t="n">
        <v>3416</v>
      </c>
      <c r="D8" s="6" t="n">
        <f aca="false">C8-C7</f>
        <v>607</v>
      </c>
      <c r="E8" s="6" t="s">
        <v>169</v>
      </c>
    </row>
    <row r="9" customFormat="false" ht="10.5" hidden="false" customHeight="false" outlineLevel="0" collapsed="false">
      <c r="A9" s="6" t="s">
        <v>173</v>
      </c>
      <c r="B9" s="7" t="n">
        <v>44459</v>
      </c>
      <c r="C9" s="6" t="n">
        <v>3629</v>
      </c>
      <c r="D9" s="6" t="n">
        <f aca="false">C9-C8</f>
        <v>213</v>
      </c>
      <c r="E9" s="6" t="s">
        <v>174</v>
      </c>
    </row>
    <row r="10" customFormat="false" ht="10.5" hidden="false" customHeight="false" outlineLevel="0" collapsed="false">
      <c r="A10" s="6" t="s">
        <v>168</v>
      </c>
      <c r="B10" s="7" t="n">
        <v>44460</v>
      </c>
      <c r="C10" s="6" t="n">
        <v>4035</v>
      </c>
      <c r="D10" s="6" t="n">
        <f aca="false">C10-C9</f>
        <v>406</v>
      </c>
      <c r="E10" s="6" t="s">
        <v>174</v>
      </c>
    </row>
    <row r="11" customFormat="false" ht="10.5" hidden="false" customHeight="false" outlineLevel="0" collapsed="false">
      <c r="A11" s="6" t="s">
        <v>170</v>
      </c>
      <c r="B11" s="7" t="n">
        <v>44461</v>
      </c>
      <c r="C11" s="6" t="n">
        <v>4300</v>
      </c>
      <c r="D11" s="6" t="n">
        <f aca="false">C11-C10</f>
        <v>265</v>
      </c>
      <c r="E11" s="6" t="s">
        <v>174</v>
      </c>
    </row>
    <row r="12" customFormat="false" ht="10.5" hidden="false" customHeight="false" outlineLevel="0" collapsed="false">
      <c r="A12" s="6" t="s">
        <v>171</v>
      </c>
      <c r="B12" s="7" t="n">
        <v>44462</v>
      </c>
      <c r="C12" s="6" t="n">
        <v>4668</v>
      </c>
      <c r="D12" s="6" t="n">
        <f aca="false">C12-C11</f>
        <v>368</v>
      </c>
      <c r="E12" s="6" t="s">
        <v>174</v>
      </c>
    </row>
    <row r="13" customFormat="false" ht="10.5" hidden="false" customHeight="false" outlineLevel="0" collapsed="false">
      <c r="A13" s="6" t="s">
        <v>172</v>
      </c>
      <c r="B13" s="7" t="n">
        <v>44463</v>
      </c>
      <c r="C13" s="6" t="n">
        <v>4952</v>
      </c>
      <c r="D13" s="6" t="n">
        <f aca="false">C13-C12</f>
        <v>284</v>
      </c>
      <c r="E13" s="6" t="s">
        <v>174</v>
      </c>
    </row>
    <row r="14" customFormat="false" ht="10.5" hidden="false" customHeight="false" outlineLevel="0" collapsed="false">
      <c r="A14" s="6" t="s">
        <v>173</v>
      </c>
      <c r="B14" s="7" t="n">
        <v>44466</v>
      </c>
      <c r="C14" s="6" t="n">
        <v>5320</v>
      </c>
      <c r="D14" s="6" t="n">
        <f aca="false">C14-C13</f>
        <v>368</v>
      </c>
      <c r="E14" s="6" t="s">
        <v>174</v>
      </c>
    </row>
    <row r="15" customFormat="false" ht="10.5" hidden="false" customHeight="false" outlineLevel="0" collapsed="false">
      <c r="A15" s="6" t="s">
        <v>168</v>
      </c>
      <c r="B15" s="7" t="n">
        <v>44467</v>
      </c>
      <c r="C15" s="6" t="n">
        <v>5622</v>
      </c>
      <c r="D15" s="6" t="n">
        <f aca="false">C15-C14</f>
        <v>302</v>
      </c>
      <c r="E15" s="6" t="s">
        <v>174</v>
      </c>
    </row>
    <row r="16" customFormat="false" ht="10.5" hidden="false" customHeight="false" outlineLevel="0" collapsed="false">
      <c r="A16" s="6" t="s">
        <v>170</v>
      </c>
      <c r="B16" s="7" t="n">
        <v>44468</v>
      </c>
      <c r="C16" s="6" t="n">
        <v>6103</v>
      </c>
      <c r="D16" s="6" t="n">
        <f aca="false">C16-C15</f>
        <v>481</v>
      </c>
      <c r="E16" s="6" t="s">
        <v>174</v>
      </c>
    </row>
    <row r="17" customFormat="false" ht="10.5" hidden="false" customHeight="false" outlineLevel="0" collapsed="false">
      <c r="A17" s="6" t="s">
        <v>171</v>
      </c>
      <c r="B17" s="7" t="n">
        <v>44469</v>
      </c>
      <c r="C17" s="6" t="n">
        <v>6103</v>
      </c>
      <c r="D17" s="6" t="n">
        <f aca="false">C17-C16</f>
        <v>0</v>
      </c>
      <c r="E17" s="6" t="s">
        <v>174</v>
      </c>
      <c r="F17" s="1" t="s">
        <v>175</v>
      </c>
    </row>
    <row r="18" customFormat="false" ht="10.5" hidden="false" customHeight="false" outlineLevel="0" collapsed="false">
      <c r="A18" s="6" t="s">
        <v>172</v>
      </c>
      <c r="B18" s="7" t="n">
        <v>44470</v>
      </c>
      <c r="C18" s="6" t="n">
        <v>6279</v>
      </c>
      <c r="D18" s="6" t="n">
        <f aca="false">C18-C17</f>
        <v>176</v>
      </c>
      <c r="E18" s="6" t="s">
        <v>174</v>
      </c>
      <c r="F18" s="1" t="s">
        <v>176</v>
      </c>
    </row>
    <row r="19" customFormat="false" ht="10.5" hidden="false" customHeight="false" outlineLevel="0" collapsed="false">
      <c r="A19" s="6" t="s">
        <v>173</v>
      </c>
      <c r="B19" s="7" t="n">
        <v>44473</v>
      </c>
      <c r="C19" s="6" t="n">
        <v>6740</v>
      </c>
      <c r="D19" s="6" t="n">
        <f aca="false">C19-C18</f>
        <v>461</v>
      </c>
      <c r="E19" s="6" t="s">
        <v>174</v>
      </c>
    </row>
    <row r="20" customFormat="false" ht="10.5" hidden="false" customHeight="false" outlineLevel="0" collapsed="false">
      <c r="A20" s="6" t="s">
        <v>168</v>
      </c>
      <c r="B20" s="7" t="n">
        <v>44474</v>
      </c>
      <c r="C20" s="6" t="n">
        <v>7056</v>
      </c>
      <c r="D20" s="6" t="n">
        <f aca="false">C20-C19</f>
        <v>316</v>
      </c>
      <c r="E20" s="6" t="s">
        <v>174</v>
      </c>
    </row>
    <row r="21" customFormat="false" ht="10.5" hidden="false" customHeight="false" outlineLevel="0" collapsed="false">
      <c r="A21" s="6" t="s">
        <v>170</v>
      </c>
      <c r="B21" s="7" t="n">
        <v>44475</v>
      </c>
      <c r="C21" s="6" t="n">
        <v>7306</v>
      </c>
      <c r="D21" s="6" t="n">
        <f aca="false">C21-C20</f>
        <v>250</v>
      </c>
      <c r="E21" s="6" t="s">
        <v>174</v>
      </c>
    </row>
    <row r="22" customFormat="false" ht="10.5" hidden="false" customHeight="false" outlineLevel="0" collapsed="false">
      <c r="A22" s="6" t="s">
        <v>171</v>
      </c>
      <c r="B22" s="7" t="n">
        <v>44476</v>
      </c>
      <c r="C22" s="6" t="n">
        <v>7651</v>
      </c>
      <c r="D22" s="6" t="n">
        <f aca="false">C22-C21</f>
        <v>345</v>
      </c>
      <c r="E22" s="6" t="s">
        <v>174</v>
      </c>
    </row>
    <row r="23" customFormat="false" ht="10.5" hidden="false" customHeight="false" outlineLevel="0" collapsed="false">
      <c r="A23" s="6" t="s">
        <v>172</v>
      </c>
      <c r="B23" s="7" t="n">
        <v>44477</v>
      </c>
      <c r="C23" s="6" t="n">
        <v>7961</v>
      </c>
      <c r="D23" s="6" t="n">
        <f aca="false">C23-C22</f>
        <v>310</v>
      </c>
      <c r="E23" s="6" t="s">
        <v>174</v>
      </c>
    </row>
    <row r="24" customFormat="false" ht="10.5" hidden="false" customHeight="false" outlineLevel="0" collapsed="false">
      <c r="A24" s="6" t="s">
        <v>173</v>
      </c>
      <c r="B24" s="7" t="n">
        <v>44480</v>
      </c>
      <c r="C24" s="6" t="n">
        <v>7961</v>
      </c>
      <c r="D24" s="6" t="n">
        <v>0</v>
      </c>
      <c r="E24" s="6" t="s">
        <v>174</v>
      </c>
    </row>
    <row r="25" customFormat="false" ht="10.5" hidden="false" customHeight="false" outlineLevel="0" collapsed="false">
      <c r="A25" s="6" t="s">
        <v>168</v>
      </c>
      <c r="B25" s="7" t="n">
        <v>44481</v>
      </c>
      <c r="C25" s="6" t="n">
        <v>8403</v>
      </c>
      <c r="D25" s="6" t="n">
        <f aca="false">C25-C23</f>
        <v>442</v>
      </c>
      <c r="E25" s="6" t="s">
        <v>174</v>
      </c>
    </row>
    <row r="26" customFormat="false" ht="10.5" hidden="false" customHeight="false" outlineLevel="0" collapsed="false">
      <c r="A26" s="6" t="s">
        <v>170</v>
      </c>
      <c r="B26" s="7" t="n">
        <v>44482</v>
      </c>
      <c r="C26" s="6" t="n">
        <v>8832</v>
      </c>
      <c r="D26" s="6" t="n">
        <f aca="false">C26-C25</f>
        <v>429</v>
      </c>
      <c r="E26" s="6" t="s">
        <v>174</v>
      </c>
    </row>
    <row r="27" customFormat="false" ht="10.5" hidden="false" customHeight="false" outlineLevel="0" collapsed="false">
      <c r="A27" s="6" t="s">
        <v>171</v>
      </c>
      <c r="B27" s="7" t="n">
        <v>44483</v>
      </c>
      <c r="C27" s="6" t="n">
        <v>9249</v>
      </c>
      <c r="D27" s="6" t="n">
        <f aca="false">C27-C26</f>
        <v>417</v>
      </c>
      <c r="E27" s="6" t="s">
        <v>174</v>
      </c>
    </row>
    <row r="28" customFormat="false" ht="10.5" hidden="false" customHeight="false" outlineLevel="0" collapsed="false">
      <c r="A28" s="6" t="s">
        <v>172</v>
      </c>
      <c r="B28" s="7" t="n">
        <v>44484</v>
      </c>
      <c r="C28" s="6" t="n">
        <v>9712</v>
      </c>
      <c r="D28" s="6" t="n">
        <f aca="false">C28-C27</f>
        <v>463</v>
      </c>
      <c r="E28" s="6" t="s">
        <v>174</v>
      </c>
    </row>
    <row r="29" customFormat="false" ht="10.5" hidden="false" customHeight="false" outlineLevel="0" collapsed="false">
      <c r="A29" s="6" t="s">
        <v>173</v>
      </c>
      <c r="B29" s="7" t="n">
        <v>44487</v>
      </c>
      <c r="C29" s="6" t="n">
        <v>10279</v>
      </c>
      <c r="D29" s="6" t="n">
        <f aca="false">C29-C28</f>
        <v>567</v>
      </c>
      <c r="E29" s="6" t="s">
        <v>174</v>
      </c>
    </row>
    <row r="30" customFormat="false" ht="10.5" hidden="false" customHeight="false" outlineLevel="0" collapsed="false">
      <c r="A30" s="6" t="s">
        <v>168</v>
      </c>
      <c r="B30" s="7" t="n">
        <v>44488</v>
      </c>
      <c r="C30" s="6" t="n">
        <v>10778</v>
      </c>
      <c r="D30" s="6" t="n">
        <f aca="false">C30-C29</f>
        <v>499</v>
      </c>
      <c r="E30" s="6" t="s">
        <v>174</v>
      </c>
    </row>
    <row r="31" customFormat="false" ht="10.5" hidden="false" customHeight="false" outlineLevel="0" collapsed="false">
      <c r="A31" s="6" t="s">
        <v>170</v>
      </c>
      <c r="B31" s="7" t="n">
        <v>44489</v>
      </c>
      <c r="C31" s="6" t="n">
        <v>10778</v>
      </c>
      <c r="D31" s="6" t="n">
        <f aca="false">C31-C30</f>
        <v>0</v>
      </c>
      <c r="E31" s="6" t="s">
        <v>174</v>
      </c>
      <c r="F31" s="1" t="s">
        <v>177</v>
      </c>
    </row>
    <row r="32" customFormat="false" ht="10.5" hidden="false" customHeight="false" outlineLevel="0" collapsed="false">
      <c r="A32" s="6" t="s">
        <v>171</v>
      </c>
      <c r="B32" s="7" t="n">
        <v>44490</v>
      </c>
      <c r="C32" s="6" t="n">
        <v>11204</v>
      </c>
      <c r="D32" s="6" t="n">
        <f aca="false">C32-C31</f>
        <v>426</v>
      </c>
      <c r="E32" s="6" t="s">
        <v>174</v>
      </c>
    </row>
    <row r="33" customFormat="false" ht="10.5" hidden="false" customHeight="false" outlineLevel="0" collapsed="false">
      <c r="A33" s="6" t="s">
        <v>172</v>
      </c>
      <c r="B33" s="7" t="n">
        <v>44491</v>
      </c>
      <c r="C33" s="6" t="n">
        <v>11551</v>
      </c>
      <c r="D33" s="6" t="n">
        <f aca="false">C33-C32</f>
        <v>347</v>
      </c>
      <c r="E33" s="6" t="s">
        <v>174</v>
      </c>
    </row>
    <row r="34" customFormat="false" ht="10.5" hidden="false" customHeight="false" outlineLevel="0" collapsed="false">
      <c r="A34" s="6" t="s">
        <v>173</v>
      </c>
      <c r="B34" s="7" t="n">
        <v>44494</v>
      </c>
      <c r="C34" s="6" t="n">
        <v>12034</v>
      </c>
      <c r="D34" s="6" t="n">
        <f aca="false">C34-C33</f>
        <v>483</v>
      </c>
      <c r="E34" s="6" t="s">
        <v>174</v>
      </c>
    </row>
    <row r="35" customFormat="false" ht="10.5" hidden="false" customHeight="false" outlineLevel="0" collapsed="false">
      <c r="A35" s="6" t="s">
        <v>168</v>
      </c>
      <c r="B35" s="7" t="n">
        <v>44495</v>
      </c>
      <c r="C35" s="6" t="n">
        <v>12509</v>
      </c>
      <c r="D35" s="6" t="n">
        <f aca="false">C35-C34</f>
        <v>475</v>
      </c>
      <c r="E35" s="6" t="s">
        <v>174</v>
      </c>
    </row>
    <row r="36" customFormat="false" ht="10.5" hidden="false" customHeight="false" outlineLevel="0" collapsed="false">
      <c r="A36" s="6" t="s">
        <v>170</v>
      </c>
      <c r="B36" s="7" t="n">
        <v>44496</v>
      </c>
      <c r="C36" s="6" t="n">
        <v>13046</v>
      </c>
      <c r="D36" s="6" t="n">
        <f aca="false">C36-C35</f>
        <v>537</v>
      </c>
      <c r="E36" s="6" t="s">
        <v>174</v>
      </c>
    </row>
    <row r="37" customFormat="false" ht="10.5" hidden="false" customHeight="false" outlineLevel="0" collapsed="false">
      <c r="A37" s="6" t="s">
        <v>171</v>
      </c>
      <c r="B37" s="7" t="n">
        <v>44497</v>
      </c>
      <c r="C37" s="6" t="n">
        <v>13046</v>
      </c>
      <c r="D37" s="6" t="n">
        <f aca="false">C37-C36</f>
        <v>0</v>
      </c>
      <c r="E37" s="6" t="s">
        <v>174</v>
      </c>
      <c r="F37" s="1" t="s">
        <v>177</v>
      </c>
    </row>
    <row r="38" customFormat="false" ht="10.5" hidden="false" customHeight="false" outlineLevel="0" collapsed="false">
      <c r="A38" s="6" t="s">
        <v>172</v>
      </c>
      <c r="B38" s="7" t="n">
        <v>44498</v>
      </c>
      <c r="C38" s="6" t="n">
        <v>13046</v>
      </c>
      <c r="D38" s="6" t="n">
        <f aca="false">C38-C37</f>
        <v>0</v>
      </c>
      <c r="E38" s="6" t="s">
        <v>174</v>
      </c>
      <c r="F38" s="1" t="s">
        <v>177</v>
      </c>
    </row>
    <row r="39" customFormat="false" ht="10.5" hidden="false" customHeight="false" outlineLevel="0" collapsed="false">
      <c r="A39" s="6" t="s">
        <v>173</v>
      </c>
      <c r="B39" s="7" t="n">
        <v>44501</v>
      </c>
      <c r="C39" s="6" t="n">
        <v>13433</v>
      </c>
      <c r="D39" s="6" t="n">
        <f aca="false">C39-C38</f>
        <v>387</v>
      </c>
      <c r="E39" s="6" t="s">
        <v>174</v>
      </c>
      <c r="F39" s="1" t="s">
        <v>178</v>
      </c>
    </row>
    <row r="40" customFormat="false" ht="10.5" hidden="false" customHeight="false" outlineLevel="0" collapsed="false">
      <c r="A40" s="6" t="s">
        <v>168</v>
      </c>
      <c r="B40" s="7" t="n">
        <v>44502</v>
      </c>
      <c r="C40" s="6" t="n">
        <v>14404</v>
      </c>
      <c r="D40" s="6" t="n">
        <f aca="false">C40-C39</f>
        <v>971</v>
      </c>
      <c r="E40" s="6" t="s">
        <v>174</v>
      </c>
      <c r="F40" s="1" t="s">
        <v>178</v>
      </c>
    </row>
    <row r="41" customFormat="false" ht="10.5" hidden="false" customHeight="false" outlineLevel="0" collapsed="false">
      <c r="A41" s="6" t="s">
        <v>170</v>
      </c>
      <c r="B41" s="7" t="n">
        <v>44503</v>
      </c>
      <c r="C41" s="6" t="n">
        <v>14404</v>
      </c>
      <c r="D41" s="6" t="n">
        <f aca="false">C41-C40</f>
        <v>0</v>
      </c>
      <c r="E41" s="6" t="s">
        <v>174</v>
      </c>
      <c r="F41" s="1" t="s">
        <v>179</v>
      </c>
    </row>
    <row r="42" customFormat="false" ht="10.5" hidden="false" customHeight="false" outlineLevel="0" collapsed="false">
      <c r="A42" s="6" t="s">
        <v>173</v>
      </c>
      <c r="B42" s="7" t="n">
        <v>44508</v>
      </c>
      <c r="C42" s="6" t="n">
        <v>14945</v>
      </c>
      <c r="D42" s="6" t="n">
        <f aca="false">C42-C41</f>
        <v>541</v>
      </c>
      <c r="E42" s="6" t="s">
        <v>174</v>
      </c>
    </row>
    <row r="43" customFormat="false" ht="10.5" hidden="false" customHeight="false" outlineLevel="0" collapsed="false">
      <c r="A43" s="6" t="s">
        <v>168</v>
      </c>
      <c r="B43" s="7" t="n">
        <v>44509</v>
      </c>
      <c r="C43" s="6" t="n">
        <v>15568</v>
      </c>
      <c r="D43" s="6" t="n">
        <f aca="false">C43-C42</f>
        <v>623</v>
      </c>
      <c r="E43" s="6" t="s">
        <v>174</v>
      </c>
    </row>
    <row r="44" customFormat="false" ht="10.5" hidden="false" customHeight="false" outlineLevel="0" collapsed="false">
      <c r="A44" s="6" t="s">
        <v>170</v>
      </c>
      <c r="B44" s="7" t="n">
        <v>44510</v>
      </c>
      <c r="C44" s="6" t="n">
        <v>15971</v>
      </c>
      <c r="D44" s="6" t="n">
        <f aca="false">C44-C43</f>
        <v>403</v>
      </c>
      <c r="E44" s="6" t="s">
        <v>174</v>
      </c>
    </row>
    <row r="45" customFormat="false" ht="10.5" hidden="false" customHeight="false" outlineLevel="0" collapsed="false">
      <c r="A45" s="6" t="s">
        <v>171</v>
      </c>
      <c r="B45" s="7" t="n">
        <v>44511</v>
      </c>
      <c r="C45" s="6" t="n">
        <v>16356</v>
      </c>
      <c r="D45" s="6" t="n">
        <f aca="false">C45-C44</f>
        <v>385</v>
      </c>
      <c r="E45" s="6" t="s">
        <v>174</v>
      </c>
    </row>
    <row r="46" customFormat="false" ht="10.5" hidden="false" customHeight="false" outlineLevel="0" collapsed="false">
      <c r="A46" s="6" t="s">
        <v>172</v>
      </c>
      <c r="B46" s="7" t="n">
        <v>44512</v>
      </c>
      <c r="C46" s="6" t="n">
        <v>16803</v>
      </c>
      <c r="D46" s="6" t="n">
        <f aca="false">C46-C45</f>
        <v>447</v>
      </c>
      <c r="E46" s="6" t="s">
        <v>174</v>
      </c>
    </row>
    <row r="47" customFormat="false" ht="10.5" hidden="false" customHeight="false" outlineLevel="0" collapsed="false">
      <c r="A47" s="6" t="s">
        <v>173</v>
      </c>
      <c r="B47" s="7" t="n">
        <v>44515</v>
      </c>
      <c r="C47" s="6" t="n">
        <v>17118</v>
      </c>
      <c r="D47" s="6" t="n">
        <f aca="false">C47-C46</f>
        <v>315</v>
      </c>
      <c r="E47" s="6" t="s">
        <v>174</v>
      </c>
    </row>
    <row r="48" customFormat="false" ht="10.5" hidden="false" customHeight="false" outlineLevel="0" collapsed="false">
      <c r="A48" s="6" t="s">
        <v>168</v>
      </c>
      <c r="B48" s="7" t="n">
        <v>44516</v>
      </c>
      <c r="C48" s="6" t="n">
        <v>17118</v>
      </c>
      <c r="D48" s="6" t="n">
        <f aca="false">C48-C47</f>
        <v>0</v>
      </c>
      <c r="E48" s="6" t="s">
        <v>174</v>
      </c>
      <c r="F48" s="1" t="s">
        <v>180</v>
      </c>
    </row>
    <row r="49" customFormat="false" ht="10.5" hidden="false" customHeight="false" outlineLevel="0" collapsed="false">
      <c r="A49" s="6" t="s">
        <v>170</v>
      </c>
      <c r="B49" s="7" t="n">
        <v>44517</v>
      </c>
      <c r="C49" s="6" t="n">
        <v>17118</v>
      </c>
      <c r="D49" s="6" t="n">
        <f aca="false">C49-C48</f>
        <v>0</v>
      </c>
      <c r="E49" s="6" t="s">
        <v>174</v>
      </c>
      <c r="F49" s="1" t="s">
        <v>179</v>
      </c>
    </row>
    <row r="50" customFormat="false" ht="10.5" hidden="false" customHeight="false" outlineLevel="0" collapsed="false">
      <c r="A50" s="6" t="s">
        <v>171</v>
      </c>
      <c r="B50" s="7" t="n">
        <v>44518</v>
      </c>
      <c r="C50" s="6" t="n">
        <v>17491</v>
      </c>
      <c r="D50" s="6" t="n">
        <f aca="false">C50-C49</f>
        <v>373</v>
      </c>
      <c r="E50" s="6" t="s">
        <v>174</v>
      </c>
    </row>
    <row r="51" customFormat="false" ht="10.5" hidden="false" customHeight="false" outlineLevel="0" collapsed="false">
      <c r="A51" s="6" t="s">
        <v>172</v>
      </c>
      <c r="B51" s="7" t="n">
        <v>44519</v>
      </c>
      <c r="C51" s="6" t="n">
        <v>17872</v>
      </c>
      <c r="D51" s="6" t="n">
        <f aca="false">C51-C50</f>
        <v>381</v>
      </c>
      <c r="E51" s="6" t="s">
        <v>174</v>
      </c>
    </row>
    <row r="52" customFormat="false" ht="10.5" hidden="false" customHeight="false" outlineLevel="0" collapsed="false">
      <c r="A52" s="6" t="s">
        <v>173</v>
      </c>
      <c r="B52" s="7" t="n">
        <v>44522</v>
      </c>
      <c r="C52" s="6" t="n">
        <v>18243</v>
      </c>
      <c r="D52" s="6" t="n">
        <f aca="false">C52-C51</f>
        <v>371</v>
      </c>
      <c r="E52" s="6" t="s">
        <v>174</v>
      </c>
    </row>
    <row r="53" customFormat="false" ht="10.5" hidden="false" customHeight="false" outlineLevel="0" collapsed="false">
      <c r="A53" s="6" t="s">
        <v>168</v>
      </c>
      <c r="B53" s="7" t="n">
        <v>44523</v>
      </c>
      <c r="C53" s="6" t="n">
        <v>18706</v>
      </c>
      <c r="D53" s="6" t="n">
        <f aca="false">C53-C52</f>
        <v>463</v>
      </c>
      <c r="E53" s="6" t="s">
        <v>174</v>
      </c>
    </row>
    <row r="54" customFormat="false" ht="10.5" hidden="false" customHeight="false" outlineLevel="0" collapsed="false">
      <c r="A54" s="6" t="s">
        <v>170</v>
      </c>
      <c r="B54" s="7" t="n">
        <v>44524</v>
      </c>
      <c r="C54" s="6" t="n">
        <v>19032</v>
      </c>
      <c r="D54" s="6" t="n">
        <f aca="false">C54-C53</f>
        <v>326</v>
      </c>
      <c r="E54" s="6" t="s">
        <v>174</v>
      </c>
      <c r="F54" s="1" t="s">
        <v>181</v>
      </c>
    </row>
    <row r="55" customFormat="false" ht="10.5" hidden="false" customHeight="false" outlineLevel="0" collapsed="false">
      <c r="A55" s="6" t="s">
        <v>171</v>
      </c>
      <c r="B55" s="7" t="n">
        <v>44525</v>
      </c>
      <c r="C55" s="6" t="n">
        <v>19483</v>
      </c>
      <c r="D55" s="6" t="n">
        <f aca="false">C55-C54</f>
        <v>451</v>
      </c>
      <c r="E55" s="6" t="s">
        <v>174</v>
      </c>
    </row>
    <row r="56" customFormat="false" ht="10.5" hidden="false" customHeight="false" outlineLevel="0" collapsed="false">
      <c r="A56" s="6" t="s">
        <v>172</v>
      </c>
      <c r="B56" s="7" t="n">
        <v>44526</v>
      </c>
      <c r="C56" s="6" t="n">
        <v>19825</v>
      </c>
      <c r="D56" s="6" t="n">
        <f aca="false">C56-C55</f>
        <v>342</v>
      </c>
      <c r="E56" s="6" t="s">
        <v>174</v>
      </c>
    </row>
    <row r="57" customFormat="false" ht="10.5" hidden="false" customHeight="false" outlineLevel="0" collapsed="false">
      <c r="A57" s="6" t="s">
        <v>173</v>
      </c>
      <c r="B57" s="7" t="n">
        <v>44529</v>
      </c>
      <c r="C57" s="6" t="n">
        <v>20368</v>
      </c>
      <c r="D57" s="6" t="n">
        <f aca="false">C57-C56</f>
        <v>543</v>
      </c>
      <c r="E57" s="6" t="s">
        <v>174</v>
      </c>
    </row>
    <row r="58" customFormat="false" ht="10.5" hidden="false" customHeight="false" outlineLevel="0" collapsed="false">
      <c r="A58" s="6" t="s">
        <v>168</v>
      </c>
      <c r="B58" s="7" t="n">
        <v>44530</v>
      </c>
      <c r="C58" s="6" t="n">
        <v>21118</v>
      </c>
      <c r="D58" s="6" t="n">
        <f aca="false">C58-C57</f>
        <v>750</v>
      </c>
      <c r="E58" s="6" t="s">
        <v>174</v>
      </c>
      <c r="F58" s="1" t="n">
        <f aca="false">AVERAGE(D3:D58)</f>
        <v>364.928571428571</v>
      </c>
    </row>
    <row r="59" customFormat="false" ht="10.5" hidden="false" customHeight="false" outlineLevel="0" collapsed="false">
      <c r="A59" s="6" t="s">
        <v>170</v>
      </c>
      <c r="B59" s="7" t="n">
        <v>44531</v>
      </c>
      <c r="C59" s="6" t="n">
        <v>21735</v>
      </c>
      <c r="D59" s="6" t="n">
        <f aca="false">C59-C58</f>
        <v>617</v>
      </c>
      <c r="E59" s="6" t="s">
        <v>174</v>
      </c>
    </row>
    <row r="60" customFormat="false" ht="10.5" hidden="false" customHeight="false" outlineLevel="0" collapsed="false">
      <c r="A60" s="6" t="s">
        <v>171</v>
      </c>
      <c r="B60" s="7" t="n">
        <v>44532</v>
      </c>
      <c r="C60" s="6" t="n">
        <v>22321</v>
      </c>
      <c r="D60" s="6" t="n">
        <f aca="false">C60-C59</f>
        <v>586</v>
      </c>
      <c r="E60" s="6" t="s">
        <v>174</v>
      </c>
    </row>
    <row r="61" customFormat="false" ht="10.5" hidden="false" customHeight="false" outlineLevel="0" collapsed="false">
      <c r="A61" s="6" t="s">
        <v>172</v>
      </c>
      <c r="B61" s="7" t="n">
        <v>44533</v>
      </c>
      <c r="C61" s="6" t="n">
        <v>22700</v>
      </c>
      <c r="D61" s="6" t="n">
        <f aca="false">C61-C60</f>
        <v>379</v>
      </c>
      <c r="E61" s="6" t="s">
        <v>174</v>
      </c>
    </row>
    <row r="62" customFormat="false" ht="10.5" hidden="false" customHeight="false" outlineLevel="0" collapsed="false">
      <c r="A62" s="6" t="s">
        <v>173</v>
      </c>
      <c r="B62" s="7" t="n">
        <v>44536</v>
      </c>
      <c r="C62" s="6" t="n">
        <v>23121</v>
      </c>
      <c r="D62" s="6" t="n">
        <f aca="false">C62-C61</f>
        <v>421</v>
      </c>
      <c r="E62" s="6" t="s">
        <v>174</v>
      </c>
      <c r="F62" s="1" t="s">
        <v>182</v>
      </c>
    </row>
    <row r="63" customFormat="false" ht="10.5" hidden="false" customHeight="false" outlineLevel="0" collapsed="false">
      <c r="A63" s="6" t="s">
        <v>168</v>
      </c>
      <c r="B63" s="7" t="n">
        <v>44537</v>
      </c>
      <c r="C63" s="6" t="n">
        <v>23721</v>
      </c>
      <c r="D63" s="6" t="n">
        <f aca="false">C63-C62</f>
        <v>600</v>
      </c>
      <c r="E63" s="6" t="s">
        <v>174</v>
      </c>
    </row>
    <row r="64" customFormat="false" ht="10.5" hidden="false" customHeight="false" outlineLevel="0" collapsed="false">
      <c r="A64" s="6" t="s">
        <v>170</v>
      </c>
      <c r="B64" s="7" t="n">
        <v>44538</v>
      </c>
      <c r="C64" s="6" t="n">
        <v>24265</v>
      </c>
      <c r="D64" s="6" t="n">
        <f aca="false">C64-C63</f>
        <v>544</v>
      </c>
      <c r="E64" s="6" t="s">
        <v>174</v>
      </c>
    </row>
    <row r="65" customFormat="false" ht="10.5" hidden="false" customHeight="false" outlineLevel="0" collapsed="false">
      <c r="A65" s="6" t="s">
        <v>171</v>
      </c>
      <c r="B65" s="7" t="n">
        <v>44539</v>
      </c>
      <c r="C65" s="6" t="n">
        <v>24730</v>
      </c>
      <c r="D65" s="6" t="n">
        <f aca="false">C65-C64</f>
        <v>465</v>
      </c>
      <c r="E65" s="6" t="s">
        <v>174</v>
      </c>
    </row>
    <row r="66" customFormat="false" ht="10.5" hidden="false" customHeight="false" outlineLevel="0" collapsed="false">
      <c r="A66" s="6" t="s">
        <v>172</v>
      </c>
      <c r="B66" s="7" t="n">
        <v>44540</v>
      </c>
      <c r="C66" s="6" t="n">
        <v>25400</v>
      </c>
      <c r="D66" s="6" t="n">
        <f aca="false">C66-C65</f>
        <v>670</v>
      </c>
      <c r="E66" s="6" t="s">
        <v>174</v>
      </c>
    </row>
    <row r="67" customFormat="false" ht="10.5" hidden="false" customHeight="false" outlineLevel="0" collapsed="false">
      <c r="A67" s="6" t="s">
        <v>173</v>
      </c>
      <c r="B67" s="7" t="n">
        <v>44543</v>
      </c>
      <c r="C67" s="6" t="n">
        <v>26076</v>
      </c>
      <c r="D67" s="6" t="n">
        <f aca="false">C67-C66</f>
        <v>676</v>
      </c>
      <c r="E67" s="6" t="s">
        <v>174</v>
      </c>
      <c r="P67" s="8" t="s">
        <v>167</v>
      </c>
    </row>
    <row r="68" customFormat="false" ht="10.5" hidden="false" customHeight="false" outlineLevel="0" collapsed="false">
      <c r="A68" s="6" t="s">
        <v>168</v>
      </c>
      <c r="B68" s="7" t="n">
        <v>44544</v>
      </c>
      <c r="C68" s="6" t="n">
        <v>26582</v>
      </c>
      <c r="D68" s="6" t="n">
        <f aca="false">C68-C67</f>
        <v>506</v>
      </c>
      <c r="E68" s="6" t="s">
        <v>174</v>
      </c>
      <c r="P68" s="8"/>
    </row>
    <row r="69" customFormat="false" ht="10.5" hidden="false" customHeight="false" outlineLevel="0" collapsed="false">
      <c r="A69" s="6" t="s">
        <v>170</v>
      </c>
      <c r="B69" s="7" t="n">
        <v>44545</v>
      </c>
      <c r="C69" s="6" t="n">
        <v>27184</v>
      </c>
      <c r="D69" s="6" t="n">
        <f aca="false">C69-C68</f>
        <v>602</v>
      </c>
      <c r="E69" s="6" t="s">
        <v>174</v>
      </c>
      <c r="P69" s="8"/>
    </row>
    <row r="70" customFormat="false" ht="10.5" hidden="false" customHeight="false" outlineLevel="0" collapsed="false">
      <c r="A70" s="6" t="s">
        <v>171</v>
      </c>
      <c r="B70" s="7" t="n">
        <v>44546</v>
      </c>
      <c r="C70" s="6" t="n">
        <v>27795</v>
      </c>
      <c r="D70" s="6" t="n">
        <f aca="false">C70-C69</f>
        <v>611</v>
      </c>
      <c r="E70" s="6" t="s">
        <v>174</v>
      </c>
      <c r="P70" s="8"/>
    </row>
    <row r="71" customFormat="false" ht="10.5" hidden="false" customHeight="false" outlineLevel="0" collapsed="false">
      <c r="A71" s="6" t="s">
        <v>172</v>
      </c>
      <c r="B71" s="7" t="n">
        <v>44547</v>
      </c>
      <c r="C71" s="6" t="n">
        <v>28351</v>
      </c>
      <c r="D71" s="6" t="n">
        <f aca="false">C71-C70</f>
        <v>556</v>
      </c>
      <c r="E71" s="6" t="s">
        <v>174</v>
      </c>
      <c r="P71" s="8"/>
    </row>
    <row r="72" customFormat="false" ht="10.5" hidden="false" customHeight="false" outlineLevel="0" collapsed="false">
      <c r="A72" s="6" t="s">
        <v>168</v>
      </c>
      <c r="B72" s="7" t="n">
        <v>44551</v>
      </c>
      <c r="C72" s="6" t="n">
        <v>28903</v>
      </c>
      <c r="D72" s="6" t="n">
        <f aca="false">C72-C71</f>
        <v>552</v>
      </c>
      <c r="E72" s="6" t="s">
        <v>174</v>
      </c>
      <c r="P72" s="8" t="s">
        <v>183</v>
      </c>
    </row>
    <row r="73" customFormat="false" ht="10.5" hidden="false" customHeight="false" outlineLevel="0" collapsed="false">
      <c r="A73" s="6" t="s">
        <v>170</v>
      </c>
      <c r="B73" s="7" t="n">
        <v>44552</v>
      </c>
      <c r="C73" s="6" t="n">
        <v>28994</v>
      </c>
      <c r="D73" s="6" t="n">
        <f aca="false">C73-C72</f>
        <v>91</v>
      </c>
      <c r="E73" s="6" t="s">
        <v>174</v>
      </c>
      <c r="F73" s="1" t="s">
        <v>184</v>
      </c>
      <c r="P73" s="8"/>
    </row>
    <row r="74" customFormat="false" ht="10.5" hidden="false" customHeight="false" outlineLevel="0" collapsed="false">
      <c r="A74" s="6" t="s">
        <v>171</v>
      </c>
      <c r="B74" s="7" t="n">
        <v>44553</v>
      </c>
      <c r="C74" s="6" t="n">
        <v>29798</v>
      </c>
      <c r="D74" s="6" t="n">
        <f aca="false">C74-C73</f>
        <v>804</v>
      </c>
      <c r="E74" s="6" t="s">
        <v>174</v>
      </c>
      <c r="P74" s="9"/>
    </row>
    <row r="75" customFormat="false" ht="10.5" hidden="false" customHeight="false" outlineLevel="0" collapsed="false">
      <c r="A75" s="6" t="s">
        <v>173</v>
      </c>
      <c r="B75" s="7" t="n">
        <v>44557</v>
      </c>
      <c r="C75" s="6" t="n">
        <v>30319</v>
      </c>
      <c r="D75" s="6" t="n">
        <f aca="false">C75-C74</f>
        <v>521</v>
      </c>
      <c r="E75" s="6" t="s">
        <v>174</v>
      </c>
    </row>
    <row r="76" customFormat="false" ht="10.5" hidden="false" customHeight="false" outlineLevel="0" collapsed="false">
      <c r="A76" s="6" t="s">
        <v>168</v>
      </c>
      <c r="B76" s="7" t="n">
        <v>44558</v>
      </c>
      <c r="C76" s="6" t="n">
        <v>30883</v>
      </c>
      <c r="D76" s="6" t="n">
        <f aca="false">C76-C75</f>
        <v>564</v>
      </c>
      <c r="E76" s="6" t="s">
        <v>174</v>
      </c>
      <c r="M76" s="6"/>
      <c r="N76" s="6"/>
      <c r="O76" s="6"/>
    </row>
    <row r="77" customFormat="false" ht="10.5" hidden="false" customHeight="false" outlineLevel="0" collapsed="false">
      <c r="A77" s="6" t="s">
        <v>170</v>
      </c>
      <c r="B77" s="7" t="n">
        <v>44559</v>
      </c>
      <c r="C77" s="6" t="n">
        <v>31428</v>
      </c>
      <c r="D77" s="6" t="n">
        <f aca="false">C77-C76</f>
        <v>545</v>
      </c>
      <c r="E77" s="6" t="s">
        <v>174</v>
      </c>
      <c r="M77" s="6"/>
      <c r="N77" s="6"/>
      <c r="O77" s="6"/>
    </row>
    <row r="78" customFormat="false" ht="10.5" hidden="false" customHeight="false" outlineLevel="0" collapsed="false">
      <c r="A78" s="6" t="s">
        <v>173</v>
      </c>
      <c r="B78" s="7" t="n">
        <v>44199</v>
      </c>
      <c r="C78" s="6" t="n">
        <v>32021</v>
      </c>
      <c r="D78" s="6" t="n">
        <f aca="false">C78-C77</f>
        <v>593</v>
      </c>
      <c r="E78" s="6" t="s">
        <v>174</v>
      </c>
      <c r="M78" s="6"/>
      <c r="N78" s="6"/>
      <c r="O78" s="6"/>
    </row>
    <row r="79" customFormat="false" ht="10.5" hidden="false" customHeight="false" outlineLevel="0" collapsed="false">
      <c r="A79" s="6" t="s">
        <v>168</v>
      </c>
      <c r="B79" s="7" t="n">
        <v>44200</v>
      </c>
      <c r="C79" s="6" t="n">
        <v>32602</v>
      </c>
      <c r="D79" s="6" t="n">
        <f aca="false">C79-C78</f>
        <v>581</v>
      </c>
      <c r="E79" s="6" t="s">
        <v>174</v>
      </c>
      <c r="M79" s="6"/>
      <c r="N79" s="6"/>
      <c r="O79" s="6"/>
    </row>
    <row r="80" customFormat="false" ht="10.5" hidden="false" customHeight="false" outlineLevel="0" collapsed="false">
      <c r="A80" s="6" t="s">
        <v>170</v>
      </c>
      <c r="B80" s="7" t="n">
        <v>44201</v>
      </c>
      <c r="C80" s="6" t="n">
        <v>33013</v>
      </c>
      <c r="D80" s="6" t="n">
        <f aca="false">C80-C79</f>
        <v>411</v>
      </c>
      <c r="E80" s="6" t="s">
        <v>174</v>
      </c>
      <c r="F80" s="1" t="s">
        <v>185</v>
      </c>
      <c r="M80" s="6"/>
      <c r="N80" s="6"/>
      <c r="O80" s="6"/>
    </row>
    <row r="81" customFormat="false" ht="10.5" hidden="false" customHeight="false" outlineLevel="0" collapsed="false">
      <c r="A81" s="6" t="s">
        <v>171</v>
      </c>
      <c r="B81" s="7" t="n">
        <v>44202</v>
      </c>
      <c r="C81" s="6" t="n">
        <v>33572</v>
      </c>
      <c r="D81" s="6" t="n">
        <f aca="false">C81-C80</f>
        <v>559</v>
      </c>
      <c r="E81" s="6" t="s">
        <v>174</v>
      </c>
      <c r="M81" s="6"/>
      <c r="N81" s="6"/>
      <c r="O81" s="6"/>
    </row>
    <row r="82" customFormat="false" ht="10.5" hidden="false" customHeight="false" outlineLevel="0" collapsed="false">
      <c r="A82" s="6" t="s">
        <v>172</v>
      </c>
      <c r="B82" s="7" t="n">
        <v>44203</v>
      </c>
      <c r="C82" s="6" t="n">
        <v>34078</v>
      </c>
      <c r="D82" s="6" t="n">
        <f aca="false">C82-C81</f>
        <v>506</v>
      </c>
      <c r="E82" s="6" t="s">
        <v>174</v>
      </c>
      <c r="M82" s="6"/>
      <c r="N82" s="6"/>
      <c r="O82" s="6"/>
    </row>
    <row r="83" customFormat="false" ht="10.5" hidden="false" customHeight="false" outlineLevel="0" collapsed="false">
      <c r="A83" s="6" t="s">
        <v>173</v>
      </c>
      <c r="B83" s="7" t="n">
        <v>44206</v>
      </c>
      <c r="C83" s="6" t="n">
        <v>34666</v>
      </c>
      <c r="D83" s="6" t="n">
        <f aca="false">C83-C82</f>
        <v>588</v>
      </c>
      <c r="E83" s="6" t="s">
        <v>174</v>
      </c>
    </row>
    <row r="84" customFormat="false" ht="10.5" hidden="false" customHeight="false" outlineLevel="0" collapsed="false">
      <c r="A84" s="6" t="s">
        <v>170</v>
      </c>
      <c r="B84" s="7" t="n">
        <v>44208</v>
      </c>
      <c r="C84" s="6" t="n">
        <v>35274</v>
      </c>
      <c r="D84" s="6" t="n">
        <f aca="false">C84-C83</f>
        <v>608</v>
      </c>
      <c r="E84" s="6" t="s">
        <v>174</v>
      </c>
    </row>
    <row r="85" customFormat="false" ht="10.5" hidden="false" customHeight="false" outlineLevel="0" collapsed="false">
      <c r="A85" s="6" t="s">
        <v>172</v>
      </c>
      <c r="B85" s="7" t="n">
        <v>44210</v>
      </c>
      <c r="C85" s="6" t="n">
        <v>35877</v>
      </c>
      <c r="D85" s="6" t="n">
        <f aca="false">C85-C84</f>
        <v>603</v>
      </c>
      <c r="E85" s="6" t="s">
        <v>174</v>
      </c>
    </row>
    <row r="86" customFormat="false" ht="10.5" hidden="false" customHeight="false" outlineLevel="0" collapsed="false">
      <c r="A86" s="6" t="s">
        <v>168</v>
      </c>
      <c r="B86" s="7" t="n">
        <v>44214</v>
      </c>
      <c r="C86" s="6" t="n">
        <v>36472</v>
      </c>
      <c r="D86" s="6" t="n">
        <f aca="false">C86-C85</f>
        <v>595</v>
      </c>
      <c r="E86" s="6" t="s">
        <v>174</v>
      </c>
    </row>
    <row r="87" customFormat="false" ht="10.5" hidden="false" customHeight="false" outlineLevel="0" collapsed="false">
      <c r="A87" s="6" t="s">
        <v>170</v>
      </c>
      <c r="B87" s="7" t="n">
        <v>44215</v>
      </c>
      <c r="C87" s="6" t="n">
        <v>37261</v>
      </c>
      <c r="D87" s="6" t="n">
        <f aca="false">C87-C86</f>
        <v>789</v>
      </c>
      <c r="E87" s="6" t="s">
        <v>174</v>
      </c>
    </row>
    <row r="88" customFormat="false" ht="10.5" hidden="false" customHeight="false" outlineLevel="0" collapsed="false">
      <c r="A88" s="6" t="s">
        <v>172</v>
      </c>
      <c r="B88" s="7" t="n">
        <v>44217</v>
      </c>
      <c r="C88" s="6" t="n">
        <v>37965</v>
      </c>
      <c r="D88" s="6" t="n">
        <f aca="false">C88-C87</f>
        <v>704</v>
      </c>
      <c r="E88" s="6" t="s">
        <v>174</v>
      </c>
    </row>
    <row r="89" customFormat="false" ht="10.5" hidden="false" customHeight="false" outlineLevel="0" collapsed="false">
      <c r="A89" s="6" t="s">
        <v>168</v>
      </c>
      <c r="B89" s="7" t="n">
        <v>44586</v>
      </c>
      <c r="C89" s="6" t="n">
        <v>38693</v>
      </c>
      <c r="D89" s="6" t="n">
        <f aca="false">C89-C88</f>
        <v>728</v>
      </c>
      <c r="E89" s="6" t="s">
        <v>174</v>
      </c>
    </row>
    <row r="90" customFormat="false" ht="10.5" hidden="false" customHeight="false" outlineLevel="0" collapsed="false">
      <c r="A90" s="6" t="s">
        <v>170</v>
      </c>
      <c r="B90" s="7" t="n">
        <v>44587</v>
      </c>
      <c r="C90" s="6" t="n">
        <v>38810</v>
      </c>
      <c r="D90" s="6" t="n">
        <f aca="false">C90-C89</f>
        <v>117</v>
      </c>
      <c r="E90" s="6" t="s">
        <v>174</v>
      </c>
      <c r="F90" s="1" t="s">
        <v>185</v>
      </c>
    </row>
    <row r="91" customFormat="false" ht="10.5" hidden="false" customHeight="false" outlineLevel="0" collapsed="false">
      <c r="A91" s="6" t="s">
        <v>171</v>
      </c>
      <c r="B91" s="7" t="n">
        <v>44588</v>
      </c>
      <c r="C91" s="6" t="n">
        <v>39637</v>
      </c>
      <c r="D91" s="6" t="n">
        <f aca="false">C91-C90</f>
        <v>827</v>
      </c>
      <c r="E91" s="6" t="s">
        <v>174</v>
      </c>
    </row>
    <row r="92" customFormat="false" ht="10.5" hidden="false" customHeight="false" outlineLevel="0" collapsed="false">
      <c r="A92" s="6" t="s">
        <v>172</v>
      </c>
      <c r="B92" s="7" t="n">
        <v>44589</v>
      </c>
      <c r="C92" s="6" t="n">
        <v>40157</v>
      </c>
      <c r="D92" s="6" t="n">
        <f aca="false">C92-C91</f>
        <v>520</v>
      </c>
      <c r="E92" s="6" t="s">
        <v>174</v>
      </c>
    </row>
    <row r="93" customFormat="false" ht="10.5" hidden="false" customHeight="false" outlineLevel="0" collapsed="false">
      <c r="A93" s="6" t="s">
        <v>171</v>
      </c>
      <c r="B93" s="7" t="n">
        <v>44595</v>
      </c>
      <c r="C93" s="6" t="n">
        <v>40497</v>
      </c>
      <c r="D93" s="6" t="n">
        <f aca="false">C93-C92</f>
        <v>340</v>
      </c>
      <c r="E93" s="6" t="s">
        <v>174</v>
      </c>
    </row>
    <row r="94" customFormat="false" ht="10.5" hidden="false" customHeight="false" outlineLevel="0" collapsed="false">
      <c r="A94" s="6" t="s">
        <v>172</v>
      </c>
      <c r="B94" s="7" t="n">
        <v>44596</v>
      </c>
      <c r="C94" s="6" t="n">
        <v>41091</v>
      </c>
      <c r="D94" s="6" t="n">
        <f aca="false">C94-C93</f>
        <v>594</v>
      </c>
      <c r="E94" s="6" t="s">
        <v>174</v>
      </c>
    </row>
    <row r="95" customFormat="false" ht="10.5" hidden="false" customHeight="false" outlineLevel="0" collapsed="false">
      <c r="A95" s="6" t="s">
        <v>173</v>
      </c>
      <c r="B95" s="7" t="n">
        <v>44599</v>
      </c>
      <c r="C95" s="6" t="n">
        <v>41884</v>
      </c>
      <c r="D95" s="6" t="n">
        <f aca="false">C95-C94</f>
        <v>793</v>
      </c>
      <c r="E95" s="6" t="s">
        <v>174</v>
      </c>
    </row>
    <row r="96" customFormat="false" ht="10.5" hidden="false" customHeight="false" outlineLevel="0" collapsed="false">
      <c r="A96" s="6" t="s">
        <v>168</v>
      </c>
      <c r="B96" s="7" t="n">
        <v>44600</v>
      </c>
      <c r="C96" s="6" t="n">
        <v>42387</v>
      </c>
      <c r="D96" s="6" t="n">
        <f aca="false">C96-C95</f>
        <v>503</v>
      </c>
      <c r="E96" s="6" t="s">
        <v>174</v>
      </c>
    </row>
    <row r="97" customFormat="false" ht="10.5" hidden="false" customHeight="false" outlineLevel="0" collapsed="false">
      <c r="A97" s="6" t="s">
        <v>170</v>
      </c>
      <c r="B97" s="7" t="n">
        <v>44601</v>
      </c>
      <c r="C97" s="6" t="n">
        <v>42845</v>
      </c>
      <c r="D97" s="6" t="n">
        <f aca="false">C97-C96</f>
        <v>458</v>
      </c>
      <c r="E97" s="6" t="s">
        <v>174</v>
      </c>
    </row>
    <row r="98" customFormat="false" ht="10.5" hidden="false" customHeight="false" outlineLevel="0" collapsed="false">
      <c r="A98" s="6" t="s">
        <v>171</v>
      </c>
      <c r="B98" s="7" t="n">
        <v>44602</v>
      </c>
      <c r="C98" s="6" t="n">
        <v>43376</v>
      </c>
      <c r="D98" s="6" t="n">
        <f aca="false">C98-C97</f>
        <v>531</v>
      </c>
      <c r="E98" s="6" t="s">
        <v>174</v>
      </c>
    </row>
    <row r="99" s="6" customFormat="true" ht="10.5" hidden="false" customHeight="false" outlineLevel="0" collapsed="false">
      <c r="A99" s="6" t="s">
        <v>172</v>
      </c>
      <c r="B99" s="7" t="n">
        <v>44603</v>
      </c>
      <c r="C99" s="6" t="n">
        <v>43927</v>
      </c>
      <c r="D99" s="6" t="n">
        <f aca="false">C99-C98</f>
        <v>551</v>
      </c>
      <c r="E99" s="6" t="s">
        <v>174</v>
      </c>
      <c r="F99" s="1"/>
    </row>
    <row r="100" customFormat="false" ht="10.5" hidden="false" customHeight="false" outlineLevel="0" collapsed="false">
      <c r="A100" s="6" t="s">
        <v>173</v>
      </c>
      <c r="B100" s="7" t="n">
        <v>44606</v>
      </c>
      <c r="C100" s="6" t="n">
        <v>44224</v>
      </c>
      <c r="D100" s="6" t="n">
        <f aca="false">C100-C99</f>
        <v>297</v>
      </c>
      <c r="E100" s="6" t="s">
        <v>174</v>
      </c>
    </row>
    <row r="101" customFormat="false" ht="10.5" hidden="false" customHeight="false" outlineLevel="0" collapsed="false">
      <c r="A101" s="6" t="s">
        <v>168</v>
      </c>
      <c r="B101" s="7" t="n">
        <v>44607</v>
      </c>
      <c r="C101" s="6" t="n">
        <v>44897</v>
      </c>
      <c r="D101" s="6" t="n">
        <f aca="false">C101-C100</f>
        <v>673</v>
      </c>
      <c r="E101" s="6" t="s">
        <v>174</v>
      </c>
    </row>
    <row r="102" customFormat="false" ht="10.5" hidden="false" customHeight="false" outlineLevel="0" collapsed="false">
      <c r="A102" s="6" t="s">
        <v>170</v>
      </c>
      <c r="B102" s="7" t="n">
        <v>44608</v>
      </c>
      <c r="C102" s="6" t="n">
        <v>45087</v>
      </c>
      <c r="D102" s="6" t="n">
        <f aca="false">C102-C101</f>
        <v>190</v>
      </c>
      <c r="E102" s="6" t="s">
        <v>174</v>
      </c>
    </row>
    <row r="103" customFormat="false" ht="10.5" hidden="false" customHeight="false" outlineLevel="0" collapsed="false">
      <c r="A103" s="6" t="s">
        <v>171</v>
      </c>
      <c r="B103" s="7" t="n">
        <v>44609</v>
      </c>
      <c r="C103" s="6" t="n">
        <v>45727</v>
      </c>
      <c r="D103" s="6" t="n">
        <f aca="false">C103-C102</f>
        <v>640</v>
      </c>
      <c r="E103" s="6" t="s">
        <v>174</v>
      </c>
    </row>
    <row r="104" customFormat="false" ht="10.5" hidden="false" customHeight="false" outlineLevel="0" collapsed="false">
      <c r="A104" s="6" t="s">
        <v>172</v>
      </c>
      <c r="B104" s="7" t="n">
        <v>44610</v>
      </c>
      <c r="C104" s="6" t="n">
        <v>46273</v>
      </c>
      <c r="D104" s="6" t="n">
        <f aca="false">C104-C103</f>
        <v>546</v>
      </c>
      <c r="E104" s="6" t="s">
        <v>174</v>
      </c>
    </row>
    <row r="105" customFormat="false" ht="10.5" hidden="false" customHeight="false" outlineLevel="0" collapsed="false">
      <c r="A105" s="6" t="s">
        <v>173</v>
      </c>
      <c r="B105" s="7" t="n">
        <v>44613</v>
      </c>
      <c r="C105" s="6" t="n">
        <v>46514</v>
      </c>
      <c r="D105" s="6" t="n">
        <f aca="false">C105-C104</f>
        <v>241</v>
      </c>
      <c r="E105" s="6" t="s">
        <v>174</v>
      </c>
      <c r="F105" s="1" t="s">
        <v>186</v>
      </c>
    </row>
    <row r="106" customFormat="false" ht="10.5" hidden="false" customHeight="false" outlineLevel="0" collapsed="false">
      <c r="A106" s="6" t="s">
        <v>168</v>
      </c>
      <c r="B106" s="7" t="n">
        <v>44614</v>
      </c>
      <c r="C106" s="6" t="n">
        <v>47071</v>
      </c>
      <c r="D106" s="6" t="n">
        <f aca="false">C106-C105</f>
        <v>557</v>
      </c>
      <c r="E106" s="6" t="s">
        <v>174</v>
      </c>
    </row>
    <row r="107" customFormat="false" ht="10.5" hidden="false" customHeight="false" outlineLevel="0" collapsed="false">
      <c r="A107" s="6" t="s">
        <v>170</v>
      </c>
      <c r="B107" s="7" t="n">
        <v>44615</v>
      </c>
      <c r="C107" s="6" t="n">
        <v>47544</v>
      </c>
      <c r="D107" s="6" t="n">
        <f aca="false">C107-C106</f>
        <v>473</v>
      </c>
      <c r="E107" s="6" t="s">
        <v>174</v>
      </c>
    </row>
    <row r="108" customFormat="false" ht="10.5" hidden="false" customHeight="false" outlineLevel="0" collapsed="false">
      <c r="A108" s="6" t="s">
        <v>171</v>
      </c>
      <c r="B108" s="7" t="n">
        <v>44616</v>
      </c>
      <c r="C108" s="6" t="n">
        <v>48137</v>
      </c>
      <c r="D108" s="6" t="n">
        <f aca="false">C108-C107</f>
        <v>593</v>
      </c>
      <c r="E108" s="6" t="s">
        <v>174</v>
      </c>
    </row>
    <row r="109" customFormat="false" ht="10.5" hidden="false" customHeight="false" outlineLevel="0" collapsed="false">
      <c r="A109" s="6" t="s">
        <v>172</v>
      </c>
      <c r="B109" s="7" t="n">
        <v>44617</v>
      </c>
      <c r="C109" s="6" t="n">
        <v>48785</v>
      </c>
      <c r="D109" s="6" t="n">
        <f aca="false">C109-C108</f>
        <v>648</v>
      </c>
      <c r="E109" s="6" t="s">
        <v>174</v>
      </c>
    </row>
    <row r="110" customFormat="false" ht="10.5" hidden="false" customHeight="false" outlineLevel="0" collapsed="false">
      <c r="A110" s="6" t="s">
        <v>173</v>
      </c>
      <c r="B110" s="7" t="n">
        <v>44620</v>
      </c>
      <c r="C110" s="6" t="n">
        <v>49423</v>
      </c>
      <c r="D110" s="6" t="n">
        <f aca="false">C110-C109</f>
        <v>638</v>
      </c>
      <c r="E110" s="6" t="s">
        <v>174</v>
      </c>
    </row>
    <row r="111" customFormat="false" ht="10.5" hidden="false" customHeight="false" outlineLevel="0" collapsed="false">
      <c r="A111" s="6" t="s">
        <v>168</v>
      </c>
      <c r="B111" s="7" t="n">
        <v>44621</v>
      </c>
      <c r="C111" s="6" t="n">
        <v>50031</v>
      </c>
      <c r="D111" s="6" t="n">
        <f aca="false">C111-C110</f>
        <v>608</v>
      </c>
      <c r="E111" s="6" t="s">
        <v>174</v>
      </c>
    </row>
    <row r="112" customFormat="false" ht="10.5" hidden="false" customHeight="false" outlineLevel="0" collapsed="false">
      <c r="A112" s="6" t="s">
        <v>170</v>
      </c>
      <c r="B112" s="7" t="n">
        <v>44622</v>
      </c>
      <c r="C112" s="6" t="n">
        <v>50350</v>
      </c>
      <c r="D112" s="6" t="n">
        <f aca="false">C112-C111</f>
        <v>319</v>
      </c>
      <c r="E112" s="6" t="s">
        <v>174</v>
      </c>
    </row>
    <row r="113" customFormat="false" ht="10.5" hidden="false" customHeight="false" outlineLevel="0" collapsed="false">
      <c r="A113" s="6" t="s">
        <v>171</v>
      </c>
      <c r="B113" s="7" t="n">
        <v>44623</v>
      </c>
      <c r="C113" s="6" t="n">
        <v>50970</v>
      </c>
      <c r="D113" s="6" t="n">
        <f aca="false">C113-C112</f>
        <v>620</v>
      </c>
      <c r="E113" s="6" t="s">
        <v>174</v>
      </c>
    </row>
    <row r="114" customFormat="false" ht="10.5" hidden="false" customHeight="false" outlineLevel="0" collapsed="false">
      <c r="A114" s="6" t="s">
        <v>172</v>
      </c>
      <c r="B114" s="7" t="n">
        <v>44624</v>
      </c>
      <c r="C114" s="6" t="n">
        <v>51463</v>
      </c>
      <c r="D114" s="6" t="n">
        <f aca="false">C114-C113</f>
        <v>493</v>
      </c>
      <c r="E114" s="6" t="s">
        <v>174</v>
      </c>
    </row>
    <row r="115" customFormat="false" ht="10.5" hidden="false" customHeight="false" outlineLevel="0" collapsed="false">
      <c r="A115" s="6" t="s">
        <v>173</v>
      </c>
      <c r="B115" s="7" t="n">
        <v>44627</v>
      </c>
      <c r="C115" s="6" t="n">
        <v>51996</v>
      </c>
      <c r="D115" s="6" t="n">
        <f aca="false">C115-C114</f>
        <v>533</v>
      </c>
      <c r="E115" s="6" t="s">
        <v>174</v>
      </c>
    </row>
    <row r="116" customFormat="false" ht="10.5" hidden="false" customHeight="false" outlineLevel="0" collapsed="false">
      <c r="A116" s="6" t="s">
        <v>168</v>
      </c>
      <c r="B116" s="7" t="n">
        <v>44628</v>
      </c>
      <c r="C116" s="6" t="n">
        <v>52172</v>
      </c>
      <c r="D116" s="6" t="n">
        <f aca="false">C116-C115</f>
        <v>176</v>
      </c>
      <c r="E116" s="6" t="s">
        <v>174</v>
      </c>
    </row>
    <row r="117" customFormat="false" ht="10.5" hidden="false" customHeight="false" outlineLevel="0" collapsed="false">
      <c r="A117" s="6" t="s">
        <v>170</v>
      </c>
      <c r="B117" s="7" t="n">
        <v>44629</v>
      </c>
      <c r="C117" s="6" t="n">
        <v>52556</v>
      </c>
      <c r="D117" s="6" t="n">
        <f aca="false">C117-C116</f>
        <v>384</v>
      </c>
      <c r="E117" s="6" t="s">
        <v>174</v>
      </c>
    </row>
    <row r="118" customFormat="false" ht="10.5" hidden="false" customHeight="false" outlineLevel="0" collapsed="false">
      <c r="A118" s="6" t="s">
        <v>171</v>
      </c>
      <c r="B118" s="7" t="n">
        <v>44630</v>
      </c>
      <c r="C118" s="6" t="n">
        <v>52947</v>
      </c>
      <c r="D118" s="6" t="n">
        <f aca="false">C118-C117</f>
        <v>391</v>
      </c>
      <c r="E118" s="6" t="s">
        <v>174</v>
      </c>
    </row>
    <row r="119" customFormat="false" ht="10.5" hidden="false" customHeight="false" outlineLevel="0" collapsed="false">
      <c r="A119" s="6" t="s">
        <v>173</v>
      </c>
      <c r="B119" s="7" t="n">
        <v>44634</v>
      </c>
      <c r="C119" s="6" t="n">
        <v>53247</v>
      </c>
      <c r="D119" s="6" t="n">
        <f aca="false">C119-C118</f>
        <v>300</v>
      </c>
      <c r="E119" s="6" t="s">
        <v>174</v>
      </c>
    </row>
    <row r="120" customFormat="false" ht="10.5" hidden="false" customHeight="false" outlineLevel="0" collapsed="false">
      <c r="A120" s="6" t="s">
        <v>168</v>
      </c>
      <c r="B120" s="7" t="n">
        <v>44635</v>
      </c>
      <c r="C120" s="6" t="n">
        <v>53913</v>
      </c>
      <c r="D120" s="6" t="n">
        <f aca="false">C120-C119</f>
        <v>666</v>
      </c>
      <c r="E120" s="6" t="s">
        <v>174</v>
      </c>
    </row>
    <row r="121" customFormat="false" ht="10.5" hidden="false" customHeight="false" outlineLevel="0" collapsed="false">
      <c r="A121" s="6" t="s">
        <v>170</v>
      </c>
      <c r="B121" s="7" t="n">
        <v>44636</v>
      </c>
      <c r="C121" s="6" t="n">
        <v>54432</v>
      </c>
      <c r="D121" s="6" t="n">
        <f aca="false">C121-C120</f>
        <v>519</v>
      </c>
      <c r="E121" s="6" t="s">
        <v>174</v>
      </c>
    </row>
    <row r="122" customFormat="false" ht="10.5" hidden="false" customHeight="false" outlineLevel="0" collapsed="false">
      <c r="A122" s="6" t="s">
        <v>171</v>
      </c>
      <c r="B122" s="7" t="n">
        <v>44637</v>
      </c>
      <c r="C122" s="6" t="n">
        <v>54901</v>
      </c>
      <c r="D122" s="6" t="n">
        <f aca="false">C122-C121</f>
        <v>469</v>
      </c>
      <c r="E122" s="6" t="s">
        <v>174</v>
      </c>
    </row>
    <row r="123" customFormat="false" ht="10.5" hidden="false" customHeight="false" outlineLevel="0" collapsed="false">
      <c r="A123" s="6" t="s">
        <v>172</v>
      </c>
      <c r="B123" s="7" t="n">
        <v>44638</v>
      </c>
      <c r="C123" s="6" t="n">
        <v>55163</v>
      </c>
      <c r="D123" s="6" t="n">
        <f aca="false">C123-C122</f>
        <v>262</v>
      </c>
      <c r="E123" s="6" t="s">
        <v>174</v>
      </c>
    </row>
    <row r="124" customFormat="false" ht="10.5" hidden="false" customHeight="false" outlineLevel="0" collapsed="false">
      <c r="A124" s="6" t="s">
        <v>173</v>
      </c>
      <c r="B124" s="7" t="n">
        <v>44641</v>
      </c>
      <c r="C124" s="6" t="n">
        <v>55815</v>
      </c>
      <c r="D124" s="6" t="n">
        <f aca="false">C124-C123</f>
        <v>652</v>
      </c>
      <c r="E124" s="6" t="s">
        <v>174</v>
      </c>
    </row>
    <row r="125" customFormat="false" ht="10.5" hidden="false" customHeight="false" outlineLevel="0" collapsed="false">
      <c r="A125" s="6" t="s">
        <v>168</v>
      </c>
      <c r="B125" s="7" t="n">
        <v>44642</v>
      </c>
      <c r="C125" s="6" t="n">
        <v>56587</v>
      </c>
      <c r="D125" s="6" t="n">
        <f aca="false">C125-C124</f>
        <v>772</v>
      </c>
      <c r="E125" s="6" t="s">
        <v>174</v>
      </c>
    </row>
    <row r="126" customFormat="false" ht="10.5" hidden="false" customHeight="false" outlineLevel="0" collapsed="false">
      <c r="A126" s="6" t="s">
        <v>170</v>
      </c>
      <c r="B126" s="7" t="n">
        <v>44643</v>
      </c>
      <c r="C126" s="6" t="n">
        <v>57089</v>
      </c>
      <c r="D126" s="6" t="n">
        <f aca="false">C126-C125</f>
        <v>502</v>
      </c>
      <c r="E126" s="6" t="s">
        <v>174</v>
      </c>
    </row>
    <row r="127" customFormat="false" ht="10.5" hidden="false" customHeight="false" outlineLevel="0" collapsed="false">
      <c r="A127" s="6" t="s">
        <v>171</v>
      </c>
      <c r="B127" s="7" t="n">
        <v>44644</v>
      </c>
      <c r="C127" s="6" t="n">
        <v>57715</v>
      </c>
      <c r="D127" s="6" t="n">
        <f aca="false">C127-C126</f>
        <v>626</v>
      </c>
      <c r="E127" s="6" t="s">
        <v>174</v>
      </c>
    </row>
    <row r="128" customFormat="false" ht="10.5" hidden="false" customHeight="false" outlineLevel="0" collapsed="false">
      <c r="A128" s="6" t="s">
        <v>172</v>
      </c>
      <c r="B128" s="7" t="n">
        <v>44645</v>
      </c>
      <c r="C128" s="6" t="n">
        <v>58037</v>
      </c>
      <c r="D128" s="6" t="n">
        <f aca="false">C128-C127</f>
        <v>322</v>
      </c>
      <c r="E128" s="6" t="s">
        <v>174</v>
      </c>
    </row>
    <row r="129" customFormat="false" ht="10.5" hidden="false" customHeight="false" outlineLevel="0" collapsed="false">
      <c r="A129" s="6" t="s">
        <v>173</v>
      </c>
      <c r="B129" s="7" t="n">
        <v>44648</v>
      </c>
      <c r="C129" s="6" t="n">
        <v>58324</v>
      </c>
      <c r="D129" s="6" t="n">
        <f aca="false">C129-C128</f>
        <v>287</v>
      </c>
      <c r="E129" s="6" t="s">
        <v>174</v>
      </c>
    </row>
    <row r="130" customFormat="false" ht="10.5" hidden="false" customHeight="false" outlineLevel="0" collapsed="false">
      <c r="A130" s="6" t="s">
        <v>168</v>
      </c>
      <c r="B130" s="7" t="n">
        <v>44649</v>
      </c>
      <c r="C130" s="6" t="n">
        <v>58679</v>
      </c>
      <c r="D130" s="6" t="n">
        <f aca="false">C130-C129</f>
        <v>355</v>
      </c>
      <c r="E130" s="6" t="s">
        <v>174</v>
      </c>
    </row>
    <row r="131" customFormat="false" ht="10.5" hidden="false" customHeight="false" outlineLevel="0" collapsed="false">
      <c r="A131" s="6" t="s">
        <v>170</v>
      </c>
      <c r="B131" s="7" t="n">
        <v>44650</v>
      </c>
      <c r="C131" s="6" t="n">
        <v>58679</v>
      </c>
      <c r="D131" s="6" t="n">
        <f aca="false">C131-C130</f>
        <v>0</v>
      </c>
      <c r="E131" s="6" t="s">
        <v>174</v>
      </c>
    </row>
    <row r="132" customFormat="false" ht="10.5" hidden="false" customHeight="false" outlineLevel="0" collapsed="false">
      <c r="A132" s="6" t="s">
        <v>171</v>
      </c>
      <c r="B132" s="7" t="n">
        <v>44651</v>
      </c>
      <c r="C132" s="6" t="n">
        <v>59400</v>
      </c>
      <c r="D132" s="6" t="n">
        <f aca="false">C132-C131</f>
        <v>721</v>
      </c>
      <c r="E132" s="6" t="s">
        <v>174</v>
      </c>
    </row>
    <row r="133" customFormat="false" ht="10.5" hidden="false" customHeight="false" outlineLevel="0" collapsed="false">
      <c r="A133" s="6" t="s">
        <v>172</v>
      </c>
      <c r="B133" s="7" t="n">
        <v>44652</v>
      </c>
      <c r="C133" s="6" t="n">
        <v>59772</v>
      </c>
      <c r="D133" s="6" t="n">
        <f aca="false">C133-C132</f>
        <v>372</v>
      </c>
      <c r="E133" s="6" t="s">
        <v>174</v>
      </c>
    </row>
    <row r="134" customFormat="false" ht="10.5" hidden="false" customHeight="false" outlineLevel="0" collapsed="false">
      <c r="A134" s="6" t="s">
        <v>173</v>
      </c>
      <c r="B134" s="7" t="n">
        <v>44655</v>
      </c>
      <c r="C134" s="6" t="n">
        <v>59830</v>
      </c>
      <c r="D134" s="6" t="n">
        <f aca="false">C134-C133</f>
        <v>58</v>
      </c>
      <c r="E134" s="6" t="s">
        <v>174</v>
      </c>
    </row>
    <row r="135" customFormat="false" ht="10.5" hidden="false" customHeight="false" outlineLevel="0" collapsed="false">
      <c r="A135" s="6" t="s">
        <v>168</v>
      </c>
      <c r="B135" s="7" t="n">
        <v>44656</v>
      </c>
      <c r="C135" s="6" t="n">
        <v>60415</v>
      </c>
      <c r="D135" s="6" t="n">
        <f aca="false">C135-C134</f>
        <v>585</v>
      </c>
      <c r="E135" s="6" t="s">
        <v>174</v>
      </c>
    </row>
    <row r="136" customFormat="false" ht="10.5" hidden="false" customHeight="false" outlineLevel="0" collapsed="false">
      <c r="A136" s="6" t="s">
        <v>170</v>
      </c>
      <c r="B136" s="7" t="n">
        <v>44657</v>
      </c>
      <c r="C136" s="6" t="n">
        <v>60974</v>
      </c>
      <c r="D136" s="6" t="n">
        <f aca="false">C136-C135</f>
        <v>559</v>
      </c>
      <c r="E136" s="6" t="s">
        <v>174</v>
      </c>
    </row>
    <row r="137" customFormat="false" ht="10.5" hidden="false" customHeight="false" outlineLevel="0" collapsed="false">
      <c r="A137" s="6" t="s">
        <v>171</v>
      </c>
      <c r="B137" s="7" t="n">
        <v>44658</v>
      </c>
      <c r="C137" s="6" t="n">
        <v>61348</v>
      </c>
      <c r="D137" s="6" t="n">
        <f aca="false">C137-C136</f>
        <v>374</v>
      </c>
      <c r="E137" s="6" t="s">
        <v>174</v>
      </c>
    </row>
    <row r="138" customFormat="false" ht="10.5" hidden="false" customHeight="false" outlineLevel="0" collapsed="false">
      <c r="A138" s="6" t="s">
        <v>172</v>
      </c>
      <c r="B138" s="7" t="n">
        <v>44659</v>
      </c>
      <c r="C138" s="6" t="n">
        <v>61913</v>
      </c>
      <c r="D138" s="6" t="n">
        <f aca="false">C138-C137</f>
        <v>565</v>
      </c>
      <c r="E138" s="6" t="s">
        <v>174</v>
      </c>
      <c r="G138" s="10" t="s">
        <v>187</v>
      </c>
      <c r="H138" s="10" t="s">
        <v>188</v>
      </c>
      <c r="I138" s="10" t="s">
        <v>189</v>
      </c>
      <c r="J138" s="10" t="s">
        <v>190</v>
      </c>
      <c r="K138" s="10" t="s">
        <v>191</v>
      </c>
      <c r="L138" s="10" t="s">
        <v>192</v>
      </c>
      <c r="M138" s="10" t="s">
        <v>193</v>
      </c>
    </row>
    <row r="139" customFormat="false" ht="12.65" hidden="false" customHeight="false" outlineLevel="0" collapsed="false">
      <c r="A139" s="6" t="s">
        <v>173</v>
      </c>
      <c r="B139" s="7" t="n">
        <v>44662</v>
      </c>
      <c r="C139" s="6" t="n">
        <v>62518</v>
      </c>
      <c r="D139" s="6" t="n">
        <f aca="false">C139-C138</f>
        <v>605</v>
      </c>
      <c r="E139" s="6" t="s">
        <v>174</v>
      </c>
      <c r="G139" s="11" t="s">
        <v>194</v>
      </c>
      <c r="H139" s="10" t="n">
        <f aca="false">C2</f>
        <v>682</v>
      </c>
      <c r="I139" s="10" t="n">
        <f aca="false">H139</f>
        <v>682</v>
      </c>
      <c r="J139" s="10" t="n">
        <f aca="false">I139</f>
        <v>682</v>
      </c>
      <c r="K139" s="10" t="n">
        <v>116</v>
      </c>
      <c r="L139" s="10" t="n">
        <f aca="false">K139/I139</f>
        <v>0.170087976539589</v>
      </c>
      <c r="M139" s="10" t="n">
        <f aca="false">L139*1000</f>
        <v>170.087976539589</v>
      </c>
    </row>
    <row r="140" customFormat="false" ht="12.65" hidden="false" customHeight="false" outlineLevel="0" collapsed="false">
      <c r="A140" s="6" t="s">
        <v>173</v>
      </c>
      <c r="B140" s="7" t="n">
        <v>44669</v>
      </c>
      <c r="C140" s="6" t="n">
        <v>63093</v>
      </c>
      <c r="D140" s="6" t="n">
        <f aca="false">C140-C139</f>
        <v>575</v>
      </c>
      <c r="E140" s="6" t="s">
        <v>174</v>
      </c>
      <c r="G140" s="11" t="s">
        <v>195</v>
      </c>
      <c r="H140" s="10" t="n">
        <f aca="false">AVERAGE(D3:D16)</f>
        <v>387.214285714286</v>
      </c>
      <c r="I140" s="10" t="n">
        <f aca="false">SUM(D3:D17)</f>
        <v>5421</v>
      </c>
      <c r="J140" s="10" t="n">
        <f aca="false">C17</f>
        <v>6103</v>
      </c>
      <c r="K140" s="10" t="n">
        <v>151</v>
      </c>
      <c r="L140" s="10" t="n">
        <f aca="false">K140/I140</f>
        <v>0.0278546393654307</v>
      </c>
      <c r="M140" s="10" t="n">
        <f aca="false">L140*1000</f>
        <v>27.8546393654307</v>
      </c>
    </row>
    <row r="141" customFormat="false" ht="12.65" hidden="false" customHeight="false" outlineLevel="0" collapsed="false">
      <c r="A141" s="6" t="s">
        <v>168</v>
      </c>
      <c r="B141" s="7" t="n">
        <v>44670</v>
      </c>
      <c r="C141" s="6" t="n">
        <v>63738</v>
      </c>
      <c r="D141" s="6" t="n">
        <f aca="false">C141-C140</f>
        <v>645</v>
      </c>
      <c r="E141" s="6" t="s">
        <v>174</v>
      </c>
      <c r="G141" s="10" t="s">
        <v>196</v>
      </c>
      <c r="H141" s="10" t="n">
        <f aca="false">AVERAGE(D18:D38)</f>
        <v>330.619047619048</v>
      </c>
      <c r="I141" s="10" t="n">
        <f aca="false">SUM(D18:D38)</f>
        <v>6943</v>
      </c>
      <c r="J141" s="10" t="n">
        <f aca="false">C38</f>
        <v>13046</v>
      </c>
      <c r="K141" s="10" t="n">
        <f aca="false">269+266</f>
        <v>535</v>
      </c>
      <c r="L141" s="10" t="n">
        <f aca="false">K141/I141</f>
        <v>0.077056027653752</v>
      </c>
      <c r="M141" s="10" t="n">
        <f aca="false">L141*1000</f>
        <v>77.056027653752</v>
      </c>
    </row>
    <row r="142" customFormat="false" ht="12.65" hidden="false" customHeight="false" outlineLevel="0" collapsed="false">
      <c r="A142" s="6" t="s">
        <v>170</v>
      </c>
      <c r="B142" s="7" t="n">
        <v>44671</v>
      </c>
      <c r="C142" s="6" t="n">
        <v>64008</v>
      </c>
      <c r="D142" s="6" t="n">
        <f aca="false">C142-C141</f>
        <v>270</v>
      </c>
      <c r="E142" s="6" t="s">
        <v>174</v>
      </c>
      <c r="G142" s="10" t="s">
        <v>197</v>
      </c>
      <c r="H142" s="10" t="n">
        <f aca="false">AVERAGE(D39:D40,D42:D47,D50:D58)</f>
        <v>474.823529411765</v>
      </c>
      <c r="I142" s="10" t="n">
        <f aca="false">SUM(D39:D58)</f>
        <v>8072</v>
      </c>
      <c r="J142" s="10" t="n">
        <f aca="false">C58</f>
        <v>21118</v>
      </c>
      <c r="K142" s="10" t="n">
        <v>813</v>
      </c>
      <c r="L142" s="10" t="n">
        <f aca="false">K142/I142</f>
        <v>0.100718533201189</v>
      </c>
      <c r="M142" s="10" t="n">
        <f aca="false">L142*1000</f>
        <v>100.718533201189</v>
      </c>
    </row>
    <row r="143" customFormat="false" ht="12.65" hidden="false" customHeight="false" outlineLevel="0" collapsed="false">
      <c r="A143" s="6" t="s">
        <v>171</v>
      </c>
      <c r="B143" s="7" t="n">
        <v>44672</v>
      </c>
      <c r="C143" s="6" t="n">
        <v>64437</v>
      </c>
      <c r="D143" s="6" t="n">
        <f aca="false">C143-C142</f>
        <v>429</v>
      </c>
      <c r="E143" s="6" t="s">
        <v>174</v>
      </c>
      <c r="G143" s="10" t="s">
        <v>198</v>
      </c>
      <c r="H143" s="10" t="n">
        <f aca="false">AVERAGE(D59:D77)</f>
        <v>542.631578947368</v>
      </c>
      <c r="I143" s="10" t="n">
        <f aca="false">SUM(D59:D77)</f>
        <v>10310</v>
      </c>
      <c r="J143" s="10" t="n">
        <f aca="false">C77</f>
        <v>31428</v>
      </c>
      <c r="K143" s="10" t="n">
        <v>830</v>
      </c>
      <c r="L143" s="10" t="n">
        <f aca="false">K143/I143</f>
        <v>0.0805043646944714</v>
      </c>
      <c r="M143" s="10" t="n">
        <f aca="false">L143*1000</f>
        <v>80.5043646944714</v>
      </c>
    </row>
    <row r="144" customFormat="false" ht="12.65" hidden="false" customHeight="false" outlineLevel="0" collapsed="false">
      <c r="A144" s="6" t="s">
        <v>172</v>
      </c>
      <c r="B144" s="7" t="n">
        <v>44673</v>
      </c>
      <c r="C144" s="6" t="n">
        <v>64890</v>
      </c>
      <c r="D144" s="6" t="n">
        <f aca="false">C144-C143</f>
        <v>453</v>
      </c>
      <c r="E144" s="6" t="s">
        <v>174</v>
      </c>
      <c r="G144" s="10" t="s">
        <v>199</v>
      </c>
      <c r="H144" s="10" t="n">
        <f aca="false">AVERAGE(D78:D92)</f>
        <v>581.933333333333</v>
      </c>
      <c r="I144" s="10" t="n">
        <f aca="false">SUM(D78:D92)</f>
        <v>8729</v>
      </c>
      <c r="J144" s="10" t="n">
        <f aca="false">C92</f>
        <v>40157</v>
      </c>
      <c r="K144" s="10"/>
      <c r="L144" s="10"/>
      <c r="M144" s="10"/>
    </row>
    <row r="145" customFormat="false" ht="12.65" hidden="false" customHeight="false" outlineLevel="0" collapsed="false">
      <c r="A145" s="6" t="s">
        <v>173</v>
      </c>
      <c r="B145" s="7" t="n">
        <v>44676</v>
      </c>
      <c r="C145" s="6" t="n">
        <v>65733</v>
      </c>
      <c r="D145" s="6" t="n">
        <f aca="false">C145-C144</f>
        <v>843</v>
      </c>
      <c r="E145" s="6" t="s">
        <v>174</v>
      </c>
      <c r="G145" s="10" t="s">
        <v>200</v>
      </c>
      <c r="H145" s="10" t="n">
        <f aca="false">AVERAGE(D93:D110)</f>
        <v>514.777777777778</v>
      </c>
      <c r="I145" s="10" t="n">
        <f aca="false">SUM(D93:D110)</f>
        <v>9266</v>
      </c>
      <c r="J145" s="10" t="n">
        <f aca="false">C110</f>
        <v>49423</v>
      </c>
      <c r="K145" s="10"/>
      <c r="L145" s="10"/>
      <c r="M145" s="10"/>
    </row>
    <row r="146" customFormat="false" ht="12.65" hidden="false" customHeight="false" outlineLevel="0" collapsed="false">
      <c r="A146" s="6" t="s">
        <v>168</v>
      </c>
      <c r="B146" s="7" t="n">
        <v>44677</v>
      </c>
      <c r="C146" s="6" t="n">
        <v>65733</v>
      </c>
      <c r="D146" s="6" t="n">
        <f aca="false">C146-C145</f>
        <v>0</v>
      </c>
      <c r="E146" s="6" t="s">
        <v>174</v>
      </c>
      <c r="G146" s="10" t="s">
        <v>42</v>
      </c>
      <c r="H146" s="10" t="n">
        <f aca="false">AVERAGE(D111:D132)</f>
        <v>453.5</v>
      </c>
      <c r="I146" s="10" t="n">
        <f aca="false">SUM(D111:D132)</f>
        <v>9977</v>
      </c>
      <c r="J146" s="10" t="n">
        <f aca="false">C132</f>
        <v>59400</v>
      </c>
      <c r="K146" s="10"/>
      <c r="L146" s="10"/>
      <c r="M146" s="10"/>
    </row>
    <row r="147" customFormat="false" ht="12.65" hidden="false" customHeight="false" outlineLevel="0" collapsed="false">
      <c r="A147" s="6" t="s">
        <v>170</v>
      </c>
      <c r="B147" s="7" t="n">
        <v>44678</v>
      </c>
      <c r="C147" s="6" t="n">
        <v>66112</v>
      </c>
      <c r="D147" s="6" t="n">
        <f aca="false">C147-C146</f>
        <v>379</v>
      </c>
      <c r="E147" s="6" t="s">
        <v>174</v>
      </c>
      <c r="G147" s="10" t="s">
        <v>201</v>
      </c>
      <c r="H147" s="10" t="n">
        <f aca="false">AVERAGE(D133:D149)</f>
        <v>450.882352941176</v>
      </c>
      <c r="I147" s="10" t="n">
        <f aca="false">SUM(D133:D149)</f>
        <v>7665</v>
      </c>
      <c r="J147" s="10" t="n">
        <f aca="false">C149</f>
        <v>67065</v>
      </c>
      <c r="K147" s="10"/>
      <c r="L147" s="10"/>
      <c r="M147" s="10"/>
    </row>
    <row r="148" customFormat="false" ht="12.65" hidden="false" customHeight="false" outlineLevel="0" collapsed="false">
      <c r="A148" s="6" t="s">
        <v>171</v>
      </c>
      <c r="B148" s="7" t="n">
        <v>44679</v>
      </c>
      <c r="C148" s="6" t="n">
        <v>66715</v>
      </c>
      <c r="D148" s="6" t="n">
        <f aca="false">C148-C147</f>
        <v>603</v>
      </c>
      <c r="E148" s="6" t="s">
        <v>174</v>
      </c>
      <c r="G148" s="10" t="s">
        <v>202</v>
      </c>
      <c r="H148" s="10" t="n">
        <f aca="false">AVERAGE(D150:D155)</f>
        <v>544.5</v>
      </c>
      <c r="I148" s="10" t="n">
        <f aca="false">SUM(D150:D155)</f>
        <v>3267</v>
      </c>
      <c r="J148" s="10" t="n">
        <f aca="false">C155</f>
        <v>70332</v>
      </c>
      <c r="K148" s="10"/>
      <c r="L148" s="10"/>
      <c r="M148" s="10"/>
    </row>
    <row r="149" customFormat="false" ht="12.65" hidden="false" customHeight="false" outlineLevel="0" collapsed="false">
      <c r="A149" s="6" t="s">
        <v>172</v>
      </c>
      <c r="B149" s="7" t="n">
        <v>44680</v>
      </c>
      <c r="C149" s="6" t="n">
        <v>67065</v>
      </c>
      <c r="D149" s="6" t="n">
        <f aca="false">C149-C148</f>
        <v>350</v>
      </c>
      <c r="E149" s="6" t="s">
        <v>174</v>
      </c>
      <c r="G149" s="10" t="s">
        <v>203</v>
      </c>
      <c r="H149" s="10"/>
      <c r="I149" s="10"/>
      <c r="J149" s="10"/>
      <c r="K149" s="10"/>
      <c r="L149" s="10"/>
      <c r="M149" s="10"/>
    </row>
    <row r="150" customFormat="false" ht="12.65" hidden="false" customHeight="false" outlineLevel="0" collapsed="false">
      <c r="A150" s="6" t="s">
        <v>173</v>
      </c>
      <c r="B150" s="7" t="n">
        <v>44690</v>
      </c>
      <c r="C150" s="6" t="n">
        <v>67465</v>
      </c>
      <c r="D150" s="6" t="n">
        <f aca="false">C150-C149</f>
        <v>400</v>
      </c>
      <c r="E150" s="6" t="s">
        <v>174</v>
      </c>
      <c r="G150" s="10" t="s">
        <v>204</v>
      </c>
      <c r="H150" s="10"/>
      <c r="I150" s="10"/>
      <c r="J150" s="10"/>
      <c r="K150" s="10"/>
      <c r="L150" s="10"/>
      <c r="M150" s="10"/>
    </row>
    <row r="151" customFormat="false" ht="12.65" hidden="false" customHeight="false" outlineLevel="0" collapsed="false">
      <c r="A151" s="6" t="s">
        <v>168</v>
      </c>
      <c r="B151" s="7" t="n">
        <v>44691</v>
      </c>
      <c r="C151" s="6" t="n">
        <v>67763</v>
      </c>
      <c r="D151" s="6" t="n">
        <f aca="false">C151-C150</f>
        <v>298</v>
      </c>
      <c r="E151" s="6" t="s">
        <v>174</v>
      </c>
    </row>
    <row r="152" customFormat="false" ht="12.65" hidden="false" customHeight="false" outlineLevel="0" collapsed="false">
      <c r="A152" s="6" t="s">
        <v>170</v>
      </c>
      <c r="B152" s="7" t="n">
        <v>44692</v>
      </c>
      <c r="C152" s="6" t="n">
        <v>68186</v>
      </c>
      <c r="D152" s="6" t="n">
        <f aca="false">C152-C151</f>
        <v>423</v>
      </c>
      <c r="E152" s="6" t="s">
        <v>174</v>
      </c>
    </row>
    <row r="153" customFormat="false" ht="12.65" hidden="false" customHeight="false" outlineLevel="0" collapsed="false">
      <c r="A153" s="6" t="s">
        <v>171</v>
      </c>
      <c r="B153" s="7" t="n">
        <v>44693</v>
      </c>
      <c r="C153" s="6" t="n">
        <v>68678</v>
      </c>
      <c r="D153" s="6" t="n">
        <f aca="false">C153-C152</f>
        <v>492</v>
      </c>
      <c r="E153" s="6" t="s">
        <v>174</v>
      </c>
      <c r="F153" s="1" t="s">
        <v>205</v>
      </c>
    </row>
    <row r="154" customFormat="false" ht="12.65" hidden="false" customHeight="false" outlineLevel="0" collapsed="false">
      <c r="A154" s="6" t="s">
        <v>172</v>
      </c>
      <c r="B154" s="7" t="n">
        <v>44708</v>
      </c>
      <c r="C154" s="6" t="n">
        <v>69696</v>
      </c>
      <c r="D154" s="6" t="n">
        <f aca="false">C154-C153</f>
        <v>1018</v>
      </c>
      <c r="E154" s="6" t="s">
        <v>174</v>
      </c>
    </row>
    <row r="155" customFormat="false" ht="12.65" hidden="false" customHeight="false" outlineLevel="0" collapsed="false">
      <c r="A155" s="6" t="s">
        <v>168</v>
      </c>
      <c r="B155" s="7" t="n">
        <v>44712</v>
      </c>
      <c r="C155" s="6" t="n">
        <v>70332</v>
      </c>
      <c r="D155" s="6" t="n">
        <f aca="false">C155-C154</f>
        <v>636</v>
      </c>
      <c r="E155" s="6" t="s">
        <v>174</v>
      </c>
    </row>
    <row r="156" customFormat="false" ht="12.65" hidden="false" customHeight="false" outlineLevel="0" collapsed="false">
      <c r="A156" s="6" t="s">
        <v>171</v>
      </c>
      <c r="B156" s="7" t="n">
        <v>44714</v>
      </c>
      <c r="C156" s="6" t="n">
        <v>70960</v>
      </c>
      <c r="D156" s="6" t="n">
        <f aca="false">C156-C155</f>
        <v>628</v>
      </c>
      <c r="E156" s="6" t="s">
        <v>174</v>
      </c>
    </row>
    <row r="157" customFormat="false" ht="12.65" hidden="false" customHeight="false" outlineLevel="0" collapsed="false">
      <c r="A157" s="6" t="s">
        <v>172</v>
      </c>
      <c r="B157" s="7" t="n">
        <v>44715</v>
      </c>
      <c r="C157" s="6" t="n">
        <v>71647</v>
      </c>
      <c r="D157" s="6" t="n">
        <f aca="false">C157-C156</f>
        <v>687</v>
      </c>
      <c r="E157" s="6" t="s">
        <v>174</v>
      </c>
    </row>
    <row r="158" customFormat="false" ht="12.65" hidden="false" customHeight="false" outlineLevel="0" collapsed="false">
      <c r="A158" s="6" t="s">
        <v>173</v>
      </c>
      <c r="B158" s="7" t="n">
        <v>44718</v>
      </c>
      <c r="C158" s="6" t="n">
        <v>72043</v>
      </c>
      <c r="D158" s="6" t="n">
        <f aca="false">C158-C157</f>
        <v>396</v>
      </c>
      <c r="E158" s="6" t="s">
        <v>174</v>
      </c>
    </row>
    <row r="159" customFormat="false" ht="12.65" hidden="false" customHeight="false" outlineLevel="0" collapsed="false">
      <c r="A159" s="6" t="s">
        <v>168</v>
      </c>
      <c r="B159" s="7" t="n">
        <v>44719</v>
      </c>
      <c r="C159" s="6" t="n">
        <v>72529</v>
      </c>
      <c r="D159" s="6" t="n">
        <f aca="false">C159-C158</f>
        <v>486</v>
      </c>
      <c r="E159" s="6" t="s">
        <v>174</v>
      </c>
    </row>
    <row r="160" customFormat="false" ht="12.65" hidden="false" customHeight="false" outlineLevel="0" collapsed="false">
      <c r="A160" s="6" t="s">
        <v>170</v>
      </c>
      <c r="B160" s="7" t="n">
        <v>44720</v>
      </c>
      <c r="C160" s="6" t="n">
        <v>73002</v>
      </c>
      <c r="D160" s="6" t="n">
        <f aca="false">C160-C159</f>
        <v>473</v>
      </c>
      <c r="E160" s="6" t="s">
        <v>174</v>
      </c>
    </row>
    <row r="161" customFormat="false" ht="12.65" hidden="false" customHeight="false" outlineLevel="0" collapsed="false">
      <c r="A161" s="6" t="s">
        <v>171</v>
      </c>
      <c r="B161" s="7" t="n">
        <v>44721</v>
      </c>
      <c r="C161" s="6" t="n">
        <v>73309</v>
      </c>
      <c r="D161" s="6" t="n">
        <f aca="false">C161-C160</f>
        <v>307</v>
      </c>
      <c r="E161" s="6" t="s">
        <v>174</v>
      </c>
    </row>
    <row r="162" customFormat="false" ht="12.65" hidden="false" customHeight="false" outlineLevel="0" collapsed="false">
      <c r="A162" s="6" t="s">
        <v>172</v>
      </c>
      <c r="B162" s="7" t="n">
        <v>44722</v>
      </c>
      <c r="C162" s="6" t="n">
        <v>73760</v>
      </c>
      <c r="D162" s="6" t="n">
        <f aca="false">C162-C161</f>
        <v>451</v>
      </c>
      <c r="E162" s="6" t="s">
        <v>174</v>
      </c>
    </row>
    <row r="163" customFormat="false" ht="12.65" hidden="false" customHeight="false" outlineLevel="0" collapsed="false">
      <c r="A163" s="6" t="s">
        <v>172</v>
      </c>
      <c r="B163" s="7" t="n">
        <v>44729</v>
      </c>
      <c r="C163" s="6" t="n">
        <v>74464</v>
      </c>
      <c r="D163" s="6" t="n">
        <f aca="false">C163-C162</f>
        <v>704</v>
      </c>
      <c r="E163" s="6" t="s">
        <v>174</v>
      </c>
    </row>
    <row r="164" customFormat="false" ht="12.65" hidden="false" customHeight="false" outlineLevel="0" collapsed="false">
      <c r="A164" s="6" t="s">
        <v>171</v>
      </c>
      <c r="B164" s="7" t="n">
        <v>44735</v>
      </c>
      <c r="C164" s="6" t="n">
        <v>75050</v>
      </c>
      <c r="D164" s="6" t="n">
        <f aca="false">C164-C163</f>
        <v>586</v>
      </c>
      <c r="E164" s="6" t="s">
        <v>174</v>
      </c>
    </row>
    <row r="165" customFormat="false" ht="12.65" hidden="false" customHeight="false" outlineLevel="0" collapsed="false">
      <c r="A165" s="6" t="s">
        <v>172</v>
      </c>
      <c r="B165" s="7" t="n">
        <v>44736</v>
      </c>
      <c r="C165" s="6" t="n">
        <v>75578</v>
      </c>
      <c r="D165" s="6" t="n">
        <f aca="false">C165-C164</f>
        <v>528</v>
      </c>
      <c r="E165" s="6" t="s">
        <v>174</v>
      </c>
    </row>
    <row r="166" customFormat="false" ht="12.65" hidden="false" customHeight="false" outlineLevel="0" collapsed="false">
      <c r="A166" s="6" t="s">
        <v>168</v>
      </c>
      <c r="B166" s="7" t="n">
        <v>44740</v>
      </c>
      <c r="C166" s="6" t="n">
        <v>75859</v>
      </c>
      <c r="D166" s="6" t="n">
        <f aca="false">C166-C165</f>
        <v>281</v>
      </c>
      <c r="E166" s="6" t="s">
        <v>174</v>
      </c>
    </row>
    <row r="167" customFormat="false" ht="12.65" hidden="false" customHeight="false" outlineLevel="0" collapsed="false">
      <c r="A167" s="6" t="s">
        <v>173</v>
      </c>
      <c r="B167" s="7" t="n">
        <v>44746</v>
      </c>
      <c r="C167" s="6" t="n">
        <v>76196</v>
      </c>
      <c r="D167" s="6" t="n">
        <f aca="false">C167-C166</f>
        <v>337</v>
      </c>
      <c r="E167" s="6" t="s">
        <v>174</v>
      </c>
    </row>
    <row r="168" customFormat="false" ht="12.65" hidden="false" customHeight="false" outlineLevel="0" collapsed="false">
      <c r="A168" s="6" t="s">
        <v>168</v>
      </c>
      <c r="B168" s="7" t="n">
        <v>44747</v>
      </c>
      <c r="C168" s="6" t="n">
        <v>76386</v>
      </c>
      <c r="D168" s="6" t="n">
        <f aca="false">C168-C167</f>
        <v>190</v>
      </c>
      <c r="E168" s="6" t="s">
        <v>174</v>
      </c>
    </row>
    <row r="169" customFormat="false" ht="12.65" hidden="false" customHeight="false" outlineLevel="0" collapsed="false">
      <c r="A169" s="6" t="s">
        <v>172</v>
      </c>
      <c r="B169" s="7" t="n">
        <v>44967</v>
      </c>
      <c r="C169" s="6" t="n">
        <v>77067</v>
      </c>
      <c r="D169" s="6" t="n">
        <f aca="false">C169-C168</f>
        <v>681</v>
      </c>
      <c r="E169" s="6" t="s">
        <v>174</v>
      </c>
    </row>
    <row r="170" customFormat="false" ht="12.65" hidden="false" customHeight="false" outlineLevel="0" collapsed="false">
      <c r="A170" s="6" t="s">
        <v>173</v>
      </c>
      <c r="B170" s="7" t="n">
        <v>44977</v>
      </c>
      <c r="C170" s="6" t="n">
        <v>77836</v>
      </c>
      <c r="D170" s="6" t="n">
        <f aca="false">C170-C169</f>
        <v>769</v>
      </c>
      <c r="E170" s="6" t="s">
        <v>174</v>
      </c>
    </row>
    <row r="171" customFormat="false" ht="12.65" hidden="false" customHeight="false" outlineLevel="0" collapsed="false">
      <c r="A171" s="6" t="s">
        <v>168</v>
      </c>
      <c r="B171" s="7" t="n">
        <v>44978</v>
      </c>
      <c r="C171" s="6" t="n">
        <v>78721</v>
      </c>
      <c r="D171" s="6" t="n">
        <f aca="false">C171-C170</f>
        <v>885</v>
      </c>
      <c r="E171" s="6" t="s">
        <v>174</v>
      </c>
    </row>
    <row r="172" customFormat="false" ht="12.65" hidden="false" customHeight="false" outlineLevel="0" collapsed="false">
      <c r="A172" s="6" t="s">
        <v>170</v>
      </c>
      <c r="B172" s="7" t="n">
        <v>44979</v>
      </c>
      <c r="C172" s="6" t="n">
        <v>79420</v>
      </c>
      <c r="D172" s="6" t="n">
        <f aca="false">C172-C171</f>
        <v>699</v>
      </c>
      <c r="E172" s="6" t="s">
        <v>174</v>
      </c>
    </row>
    <row r="173" customFormat="false" ht="12.65" hidden="false" customHeight="false" outlineLevel="0" collapsed="false">
      <c r="A173" s="6" t="s">
        <v>172</v>
      </c>
      <c r="B173" s="7" t="n">
        <v>44981</v>
      </c>
      <c r="C173" s="6" t="n">
        <v>80251</v>
      </c>
      <c r="D173" s="6" t="n">
        <f aca="false">C173-C172</f>
        <v>831</v>
      </c>
      <c r="E173" s="6" t="s">
        <v>174</v>
      </c>
    </row>
    <row r="174" customFormat="false" ht="12.65" hidden="false" customHeight="false" outlineLevel="0" collapsed="false">
      <c r="A174" s="6" t="s">
        <v>173</v>
      </c>
      <c r="B174" s="7" t="n">
        <v>44984</v>
      </c>
      <c r="C174" s="6" t="n">
        <v>80979</v>
      </c>
      <c r="D174" s="6" t="n">
        <f aca="false">C174-C173</f>
        <v>728</v>
      </c>
      <c r="E174" s="6" t="s">
        <v>174</v>
      </c>
    </row>
    <row r="175" customFormat="false" ht="12.65" hidden="false" customHeight="false" outlineLevel="0" collapsed="false">
      <c r="A175" s="6" t="s">
        <v>173</v>
      </c>
      <c r="B175" s="7" t="n">
        <v>45040</v>
      </c>
      <c r="C175" s="6" t="n">
        <v>84208</v>
      </c>
      <c r="D175" s="6" t="n">
        <f aca="false">C175-C174</f>
        <v>3229</v>
      </c>
      <c r="E175" s="6" t="s">
        <v>174</v>
      </c>
    </row>
  </sheetData>
  <conditionalFormatting sqref="A1 A139:A1048576">
    <cfRule type="containsText" priority="2" operator="containsText" aboveAverage="0" equalAverage="0" bottom="0" percent="0" rank="0" text="Wednesday" dxfId="5">
      <formula>NOT(ISERROR(SEARCH("Wednesday",A1)))</formula>
    </cfRule>
    <cfRule type="containsText" priority="3" operator="containsText" aboveAverage="0" equalAverage="0" bottom="0" percent="0" rank="0" text="Tuesday" dxfId="6">
      <formula>NOT(ISERROR(SEARCH("Tuesday",A1)))</formula>
    </cfRule>
    <cfRule type="containsText" priority="4" operator="containsText" aboveAverage="0" equalAverage="0" bottom="0" percent="0" rank="0" text="Monday" dxfId="7">
      <formula>NOT(ISERROR(SEARCH("Monday",A1)))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7871ae-e641-415c-930f-6f6f272023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5B38E059CE1141B92B792655F983DD" ma:contentTypeVersion="15" ma:contentTypeDescription="Create a new document." ma:contentTypeScope="" ma:versionID="a4f26e3943a2b738c4c1880efef3cbda">
  <xsd:schema xmlns:xsd="http://www.w3.org/2001/XMLSchema" xmlns:xs="http://www.w3.org/2001/XMLSchema" xmlns:p="http://schemas.microsoft.com/office/2006/metadata/properties" xmlns:ns3="27cf54b0-1c47-4def-934a-b774082b08c9" xmlns:ns4="b97871ae-e641-415c-930f-6f6f27202348" targetNamespace="http://schemas.microsoft.com/office/2006/metadata/properties" ma:root="true" ma:fieldsID="a6d4162f18de4d66f2706f493c930631" ns3:_="" ns4:_="">
    <xsd:import namespace="27cf54b0-1c47-4def-934a-b774082b08c9"/>
    <xsd:import namespace="b97871ae-e641-415c-930f-6f6f272023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ServiceObjectDetectorVersions" minOccurs="0"/>
                <xsd:element ref="ns4:MediaServiceLocation" minOccurs="0"/>
                <xsd:element ref="ns4:MediaLengthInSecond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f54b0-1c47-4def-934a-b774082b08c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871ae-e641-415c-930f-6f6f27202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4CB09-BCCF-433F-A04E-6533EFDD81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87AD0F-68E7-4FCA-A2E4-E318F21CCE02}">
  <ds:schemaRefs>
    <ds:schemaRef ds:uri="27cf54b0-1c47-4def-934a-b774082b08c9"/>
    <ds:schemaRef ds:uri="http://schemas.microsoft.com/office/2006/metadata/properties"/>
    <ds:schemaRef ds:uri="b97871ae-e641-415c-930f-6f6f27202348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0A9A82-AAB6-4270-A31C-62596CA69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cf54b0-1c47-4def-934a-b774082b08c9"/>
    <ds:schemaRef ds:uri="b97871ae-e641-415c-930f-6f6f27202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2021-08-16T07:07:43Z</dcterms:created>
  <dc:creator>Wei Ling Jeslynn Teo</dc:creator>
  <dc:description/>
  <dc:language>en-US</dc:language>
  <cp:lastModifiedBy/>
  <dcterms:modified xsi:type="dcterms:W3CDTF">2026-10-19T09:11:50Z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0x010100EC5B38E059CE1141B92B792655F983DD</vt:lpwstr>
  </property>
</Properties>
</file>